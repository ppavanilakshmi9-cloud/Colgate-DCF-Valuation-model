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colgte palmolive\"/>
    </mc:Choice>
  </mc:AlternateContent>
  <xr:revisionPtr revIDLastSave="0" documentId="13_ncr:1_{76F74169-95F1-4ACD-B5A1-312E91FDCE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luation" sheetId="9" r:id="rId1"/>
    <sheet name="Cost of Debt" sheetId="8" r:id="rId2"/>
    <sheet name="Cost of Capital" sheetId="7" r:id="rId3"/>
    <sheet name="Revenue" sheetId="1" r:id="rId4"/>
    <sheet name="P&amp;L" sheetId="2" r:id="rId5"/>
    <sheet name="Balance Sheet" sheetId="3" r:id="rId6"/>
    <sheet name="CFS" sheetId="4" r:id="rId7"/>
    <sheet name="Debt" sheetId="5" r:id="rId8"/>
    <sheet name="Capex" sheetId="6" r:id="rId9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5" i="3" l="1"/>
  <c r="J75" i="3"/>
  <c r="I75" i="3"/>
  <c r="H75" i="3"/>
  <c r="G75" i="3"/>
  <c r="K74" i="3"/>
  <c r="J74" i="3"/>
  <c r="I74" i="3"/>
  <c r="H74" i="3"/>
  <c r="G74" i="3"/>
  <c r="K78" i="2"/>
  <c r="J78" i="2"/>
  <c r="I78" i="2"/>
  <c r="H78" i="2"/>
  <c r="G78" i="2"/>
  <c r="G37" i="7"/>
  <c r="E47" i="9"/>
  <c r="E46" i="9"/>
  <c r="D5" i="9"/>
  <c r="H26" i="9" l="1"/>
  <c r="H27" i="9" s="1"/>
  <c r="H28" i="9" s="1"/>
  <c r="H29" i="9" s="1"/>
  <c r="B10" i="8"/>
  <c r="B13" i="8"/>
  <c r="B14" i="8" s="1"/>
  <c r="C23" i="9"/>
  <c r="C27" i="9"/>
  <c r="C24" i="9"/>
  <c r="B17" i="8"/>
  <c r="B19" i="8" s="1"/>
  <c r="B20" i="8" s="1"/>
  <c r="B12" i="8"/>
  <c r="H32" i="7"/>
  <c r="G32" i="7"/>
  <c r="E32" i="7"/>
  <c r="G27" i="7"/>
  <c r="E27" i="7"/>
  <c r="H27" i="7" s="1"/>
  <c r="G26" i="7"/>
  <c r="E26" i="7"/>
  <c r="H26" i="7" s="1"/>
  <c r="G25" i="7"/>
  <c r="E25" i="7"/>
  <c r="G24" i="7"/>
  <c r="E24" i="7"/>
  <c r="H24" i="7" s="1"/>
  <c r="G21" i="7"/>
  <c r="E21" i="7"/>
  <c r="N249" i="7"/>
  <c r="N248" i="7"/>
  <c r="N247" i="7"/>
  <c r="N246" i="7"/>
  <c r="N245" i="7"/>
  <c r="N244" i="7"/>
  <c r="N243" i="7"/>
  <c r="N242" i="7"/>
  <c r="N241" i="7"/>
  <c r="N240" i="7"/>
  <c r="N239" i="7"/>
  <c r="N238" i="7"/>
  <c r="N237" i="7"/>
  <c r="N236" i="7"/>
  <c r="N235" i="7"/>
  <c r="N234" i="7"/>
  <c r="N233" i="7"/>
  <c r="N232" i="7"/>
  <c r="N231" i="7"/>
  <c r="N230" i="7"/>
  <c r="N229" i="7"/>
  <c r="N228" i="7"/>
  <c r="N227" i="7"/>
  <c r="N226" i="7"/>
  <c r="N225" i="7"/>
  <c r="N224" i="7"/>
  <c r="N223" i="7"/>
  <c r="N222" i="7"/>
  <c r="N221" i="7"/>
  <c r="N220" i="7"/>
  <c r="N219" i="7"/>
  <c r="N218" i="7"/>
  <c r="N217" i="7"/>
  <c r="N216" i="7"/>
  <c r="N215" i="7"/>
  <c r="N214" i="7"/>
  <c r="N213" i="7"/>
  <c r="N212" i="7"/>
  <c r="N211" i="7"/>
  <c r="N210" i="7"/>
  <c r="N209" i="7"/>
  <c r="N208" i="7"/>
  <c r="N207" i="7"/>
  <c r="N206" i="7"/>
  <c r="N205" i="7"/>
  <c r="N204" i="7"/>
  <c r="N203" i="7"/>
  <c r="N202" i="7"/>
  <c r="N201" i="7"/>
  <c r="N200" i="7"/>
  <c r="N199" i="7"/>
  <c r="N198" i="7"/>
  <c r="N197" i="7"/>
  <c r="N196" i="7"/>
  <c r="N195" i="7"/>
  <c r="N194" i="7"/>
  <c r="N193" i="7"/>
  <c r="N192" i="7"/>
  <c r="N191" i="7"/>
  <c r="N190" i="7"/>
  <c r="N189" i="7"/>
  <c r="N188" i="7"/>
  <c r="N187" i="7"/>
  <c r="N186" i="7"/>
  <c r="N185" i="7"/>
  <c r="N184" i="7"/>
  <c r="N183" i="7"/>
  <c r="N182" i="7"/>
  <c r="N181" i="7"/>
  <c r="N180" i="7"/>
  <c r="N179" i="7"/>
  <c r="N178" i="7"/>
  <c r="N177" i="7"/>
  <c r="N176" i="7"/>
  <c r="N175" i="7"/>
  <c r="N174" i="7"/>
  <c r="N173" i="7"/>
  <c r="N172" i="7"/>
  <c r="N171" i="7"/>
  <c r="N170" i="7"/>
  <c r="N169" i="7"/>
  <c r="N168" i="7"/>
  <c r="N167" i="7"/>
  <c r="N166" i="7"/>
  <c r="N165" i="7"/>
  <c r="N164" i="7"/>
  <c r="N163" i="7"/>
  <c r="N162" i="7"/>
  <c r="N161" i="7"/>
  <c r="N160" i="7"/>
  <c r="N159" i="7"/>
  <c r="N158" i="7"/>
  <c r="N157" i="7"/>
  <c r="N156" i="7"/>
  <c r="N155" i="7"/>
  <c r="N154" i="7"/>
  <c r="N153" i="7"/>
  <c r="N152" i="7"/>
  <c r="N151" i="7"/>
  <c r="N150" i="7"/>
  <c r="N149" i="7"/>
  <c r="N148" i="7"/>
  <c r="N147" i="7"/>
  <c r="N146" i="7"/>
  <c r="N145" i="7"/>
  <c r="N144" i="7"/>
  <c r="N143" i="7"/>
  <c r="N142" i="7"/>
  <c r="N141" i="7"/>
  <c r="N140" i="7"/>
  <c r="N139" i="7"/>
  <c r="N138" i="7"/>
  <c r="N137" i="7"/>
  <c r="N136" i="7"/>
  <c r="N135" i="7"/>
  <c r="N134" i="7"/>
  <c r="N133" i="7"/>
  <c r="N132" i="7"/>
  <c r="N131" i="7"/>
  <c r="N130" i="7"/>
  <c r="N129" i="7"/>
  <c r="N128" i="7"/>
  <c r="N127" i="7"/>
  <c r="N126" i="7"/>
  <c r="N125" i="7"/>
  <c r="N124" i="7"/>
  <c r="N123" i="7"/>
  <c r="N122" i="7"/>
  <c r="N121" i="7"/>
  <c r="N120" i="7"/>
  <c r="N119" i="7"/>
  <c r="N118" i="7"/>
  <c r="N117" i="7"/>
  <c r="N116" i="7"/>
  <c r="N115" i="7"/>
  <c r="N114" i="7"/>
  <c r="N113" i="7"/>
  <c r="N112" i="7"/>
  <c r="N111" i="7"/>
  <c r="N110" i="7"/>
  <c r="N10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J236" i="7"/>
  <c r="J235" i="7"/>
  <c r="J234" i="7"/>
  <c r="J233" i="7"/>
  <c r="J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J214" i="7"/>
  <c r="J213" i="7"/>
  <c r="J212" i="7"/>
  <c r="J211" i="7"/>
  <c r="J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J192" i="7"/>
  <c r="J191" i="7"/>
  <c r="J190" i="7"/>
  <c r="J189" i="7"/>
  <c r="J188" i="7"/>
  <c r="J187" i="7"/>
  <c r="J186" i="7"/>
  <c r="J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J167" i="7"/>
  <c r="J166" i="7"/>
  <c r="J165" i="7"/>
  <c r="J164" i="7"/>
  <c r="J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J145" i="7"/>
  <c r="J144" i="7"/>
  <c r="J143" i="7"/>
  <c r="J142" i="7"/>
  <c r="J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J123" i="7"/>
  <c r="J122" i="7"/>
  <c r="J121" i="7"/>
  <c r="J120" i="7"/>
  <c r="J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N43" i="7"/>
  <c r="L43" i="7"/>
  <c r="J43" i="7"/>
  <c r="F43" i="7"/>
  <c r="H43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B12" i="7"/>
  <c r="B13" i="7" s="1"/>
  <c r="B6" i="7" s="1"/>
  <c r="H25" i="9" l="1"/>
  <c r="H24" i="9" s="1"/>
  <c r="H23" i="9" s="1"/>
  <c r="H21" i="7"/>
  <c r="H25" i="7"/>
  <c r="I37" i="7"/>
  <c r="C25" i="7" s="1"/>
  <c r="J25" i="7" s="1"/>
  <c r="C37" i="7"/>
  <c r="K37" i="7"/>
  <c r="C26" i="7" s="1"/>
  <c r="J26" i="7" s="1"/>
  <c r="E37" i="7"/>
  <c r="C21" i="7" s="1"/>
  <c r="J21" i="7" s="1"/>
  <c r="C24" i="7"/>
  <c r="J24" i="7" s="1"/>
  <c r="M37" i="7"/>
  <c r="C27" i="7" s="1"/>
  <c r="J27" i="7" s="1"/>
  <c r="H8" i="9"/>
  <c r="G8" i="9"/>
  <c r="F8" i="9"/>
  <c r="E8" i="9"/>
  <c r="D8" i="9"/>
  <c r="E5" i="9"/>
  <c r="F5" i="9" s="1"/>
  <c r="H4" i="9"/>
  <c r="G4" i="9"/>
  <c r="F4" i="9"/>
  <c r="E4" i="9"/>
  <c r="D4" i="9"/>
  <c r="E3" i="9"/>
  <c r="F3" i="9" s="1"/>
  <c r="G3" i="9" s="1"/>
  <c r="H3" i="9" s="1"/>
  <c r="G6" i="5"/>
  <c r="F6" i="5"/>
  <c r="E6" i="5"/>
  <c r="D6" i="5"/>
  <c r="G5" i="5"/>
  <c r="F5" i="5"/>
  <c r="E5" i="5"/>
  <c r="D5" i="5"/>
  <c r="C5" i="5"/>
  <c r="C21" i="4"/>
  <c r="D21" i="4"/>
  <c r="E21" i="4"/>
  <c r="F21" i="4"/>
  <c r="G21" i="4"/>
  <c r="G19" i="2"/>
  <c r="H19" i="2"/>
  <c r="I19" i="2"/>
  <c r="I26" i="2" s="1"/>
  <c r="J19" i="2"/>
  <c r="J26" i="2" s="1"/>
  <c r="K19" i="2"/>
  <c r="H26" i="2"/>
  <c r="C72" i="2"/>
  <c r="G20" i="3"/>
  <c r="H20" i="3"/>
  <c r="I20" i="3"/>
  <c r="J20" i="3"/>
  <c r="K20" i="3"/>
  <c r="K60" i="3"/>
  <c r="J60" i="3"/>
  <c r="I60" i="3"/>
  <c r="H60" i="3"/>
  <c r="G60" i="3"/>
  <c r="K61" i="3"/>
  <c r="J61" i="3"/>
  <c r="I61" i="3"/>
  <c r="H61" i="3"/>
  <c r="G61" i="3"/>
  <c r="H62" i="3"/>
  <c r="I62" i="3" s="1"/>
  <c r="J62" i="3" s="1"/>
  <c r="K62" i="3" s="1"/>
  <c r="G62" i="3"/>
  <c r="F62" i="3"/>
  <c r="E62" i="3"/>
  <c r="D62" i="3"/>
  <c r="C62" i="3"/>
  <c r="G26" i="4"/>
  <c r="F26" i="4"/>
  <c r="E26" i="4"/>
  <c r="D26" i="4"/>
  <c r="C26" i="4"/>
  <c r="H13" i="6"/>
  <c r="I13" i="6"/>
  <c r="J13" i="6"/>
  <c r="K13" i="6"/>
  <c r="K26" i="2"/>
  <c r="G26" i="2"/>
  <c r="G18" i="3"/>
  <c r="H18" i="3"/>
  <c r="I18" i="3"/>
  <c r="J18" i="3"/>
  <c r="K18" i="3"/>
  <c r="E6" i="9" l="1"/>
  <c r="E7" i="9" s="1"/>
  <c r="G5" i="9"/>
  <c r="G6" i="9" s="1"/>
  <c r="G7" i="9" s="1"/>
  <c r="F6" i="9"/>
  <c r="F7" i="9" s="1"/>
  <c r="D6" i="9"/>
  <c r="D7" i="9" s="1"/>
  <c r="H6" i="9"/>
  <c r="H7" i="9" s="1"/>
  <c r="J29" i="7"/>
  <c r="C32" i="7" s="1"/>
  <c r="J32" i="7" s="1"/>
  <c r="B16" i="7" s="1"/>
  <c r="B17" i="7" s="1"/>
  <c r="C19" i="9" s="1"/>
  <c r="L22" i="9" s="1"/>
  <c r="G10" i="3"/>
  <c r="H10" i="3"/>
  <c r="I10" i="3"/>
  <c r="J10" i="3"/>
  <c r="K10" i="3"/>
  <c r="G8" i="2"/>
  <c r="G6" i="2"/>
  <c r="H6" i="2"/>
  <c r="I6" i="2"/>
  <c r="J6" i="2"/>
  <c r="K6" i="2"/>
  <c r="K22" i="9" l="1"/>
  <c r="J22" i="9" s="1"/>
  <c r="I22" i="9" s="1"/>
  <c r="M22" i="9"/>
  <c r="N22" i="9" s="1"/>
  <c r="O22" i="9" s="1"/>
  <c r="F77" i="3"/>
  <c r="H77" i="3" s="1"/>
  <c r="E77" i="3"/>
  <c r="I77" i="3" s="1"/>
  <c r="D77" i="3"/>
  <c r="C77" i="3"/>
  <c r="K77" i="3" l="1"/>
  <c r="J77" i="3"/>
  <c r="G77" i="3"/>
  <c r="G6" i="4" l="1"/>
  <c r="F6" i="4"/>
  <c r="E6" i="4"/>
  <c r="D6" i="4"/>
  <c r="C6" i="4"/>
  <c r="G26" i="3"/>
  <c r="H26" i="3" s="1"/>
  <c r="I26" i="3" s="1"/>
  <c r="J26" i="3" s="1"/>
  <c r="K26" i="3" s="1"/>
  <c r="F68" i="3" l="1"/>
  <c r="E68" i="3"/>
  <c r="D68" i="3"/>
  <c r="C68" i="3"/>
  <c r="F67" i="3"/>
  <c r="G67" i="3" s="1"/>
  <c r="H67" i="3" s="1"/>
  <c r="I67" i="3" s="1"/>
  <c r="J67" i="3" s="1"/>
  <c r="K67" i="3" s="1"/>
  <c r="E67" i="3"/>
  <c r="D67" i="3"/>
  <c r="C67" i="3"/>
  <c r="C32" i="4"/>
  <c r="G68" i="3" l="1"/>
  <c r="G27" i="6"/>
  <c r="G13" i="6"/>
  <c r="G20" i="4"/>
  <c r="H10" i="9" s="1"/>
  <c r="F20" i="4"/>
  <c r="G10" i="9" s="1"/>
  <c r="E20" i="4"/>
  <c r="F10" i="9" s="1"/>
  <c r="D20" i="4"/>
  <c r="E10" i="9" s="1"/>
  <c r="C20" i="4"/>
  <c r="D10" i="9" s="1"/>
  <c r="G35" i="3"/>
  <c r="H35" i="3" s="1"/>
  <c r="I35" i="3" s="1"/>
  <c r="J35" i="3" s="1"/>
  <c r="K35" i="3" s="1"/>
  <c r="G34" i="3"/>
  <c r="H34" i="3" s="1"/>
  <c r="I34" i="3" s="1"/>
  <c r="J34" i="3" s="1"/>
  <c r="K34" i="3" s="1"/>
  <c r="G33" i="3"/>
  <c r="H33" i="3" s="1"/>
  <c r="I33" i="3" s="1"/>
  <c r="J33" i="3" s="1"/>
  <c r="K33" i="3" s="1"/>
  <c r="G31" i="3"/>
  <c r="H31" i="3" s="1"/>
  <c r="I31" i="3" s="1"/>
  <c r="J31" i="3" s="1"/>
  <c r="K31" i="3" s="1"/>
  <c r="G30" i="3"/>
  <c r="H30" i="3" s="1"/>
  <c r="I30" i="3" s="1"/>
  <c r="J30" i="3" s="1"/>
  <c r="K30" i="3" s="1"/>
  <c r="H30" i="2"/>
  <c r="I30" i="2" s="1"/>
  <c r="J30" i="2" s="1"/>
  <c r="G30" i="2"/>
  <c r="D2" i="4"/>
  <c r="E2" i="4" s="1"/>
  <c r="F2" i="4" s="1"/>
  <c r="G2" i="4" s="1"/>
  <c r="G13" i="5"/>
  <c r="F73" i="3"/>
  <c r="G73" i="3" s="1"/>
  <c r="E73" i="3"/>
  <c r="D73" i="3"/>
  <c r="C73" i="3"/>
  <c r="D3" i="5"/>
  <c r="E3" i="5" s="1"/>
  <c r="F3" i="5" s="1"/>
  <c r="G3" i="5" s="1"/>
  <c r="K76" i="2"/>
  <c r="J76" i="2"/>
  <c r="I76" i="2"/>
  <c r="H76" i="2"/>
  <c r="G76" i="2"/>
  <c r="H20" i="6"/>
  <c r="I20" i="6" s="1"/>
  <c r="J20" i="6" s="1"/>
  <c r="K20" i="6" s="1"/>
  <c r="G20" i="6"/>
  <c r="C24" i="6"/>
  <c r="F19" i="6"/>
  <c r="F21" i="6" s="1"/>
  <c r="F28" i="6" s="1"/>
  <c r="E19" i="6"/>
  <c r="E21" i="6" s="1"/>
  <c r="E28" i="6" s="1"/>
  <c r="D19" i="6"/>
  <c r="D21" i="6" s="1"/>
  <c r="D28" i="6" s="1"/>
  <c r="C19" i="6"/>
  <c r="C21" i="6" s="1"/>
  <c r="C28" i="6" s="1"/>
  <c r="C26" i="6" s="1"/>
  <c r="K6" i="6"/>
  <c r="F15" i="6"/>
  <c r="G15" i="6" s="1"/>
  <c r="E15" i="6"/>
  <c r="D15" i="6"/>
  <c r="C15" i="6"/>
  <c r="F78" i="2"/>
  <c r="E78" i="2"/>
  <c r="D78" i="2"/>
  <c r="C78" i="2"/>
  <c r="F77" i="2"/>
  <c r="E77" i="2"/>
  <c r="D77" i="2"/>
  <c r="C77" i="2"/>
  <c r="F12" i="6"/>
  <c r="F14" i="6" s="1"/>
  <c r="G14" i="6" s="1"/>
  <c r="H14" i="6" s="1"/>
  <c r="I14" i="6" s="1"/>
  <c r="J14" i="6" s="1"/>
  <c r="K14" i="6" s="1"/>
  <c r="E12" i="6"/>
  <c r="E14" i="6" s="1"/>
  <c r="D12" i="6"/>
  <c r="D14" i="6" s="1"/>
  <c r="C12" i="6"/>
  <c r="C14" i="6" s="1"/>
  <c r="C5" i="6"/>
  <c r="G4" i="6"/>
  <c r="F4" i="6"/>
  <c r="F5" i="6" s="1"/>
  <c r="E4" i="6"/>
  <c r="E5" i="6" s="1"/>
  <c r="D4" i="6"/>
  <c r="D5" i="6" s="1"/>
  <c r="D2" i="6"/>
  <c r="E2" i="6" s="1"/>
  <c r="F2" i="6" s="1"/>
  <c r="G2" i="6" s="1"/>
  <c r="H2" i="6" s="1"/>
  <c r="I2" i="6" s="1"/>
  <c r="J2" i="6" s="1"/>
  <c r="K2" i="6" s="1"/>
  <c r="F70" i="3"/>
  <c r="F71" i="3" s="1"/>
  <c r="G71" i="3" s="1"/>
  <c r="E70" i="3"/>
  <c r="E71" i="3" s="1"/>
  <c r="D70" i="3"/>
  <c r="D71" i="3" s="1"/>
  <c r="C70" i="3"/>
  <c r="C71" i="3" s="1"/>
  <c r="F64" i="3"/>
  <c r="F65" i="3" s="1"/>
  <c r="E64" i="3"/>
  <c r="E65" i="3" s="1"/>
  <c r="D64" i="3"/>
  <c r="D65" i="3" s="1"/>
  <c r="C64" i="3"/>
  <c r="C65" i="3" s="1"/>
  <c r="F60" i="3"/>
  <c r="F61" i="3" s="1"/>
  <c r="E60" i="3"/>
  <c r="E61" i="3" s="1"/>
  <c r="D60" i="3"/>
  <c r="D61" i="3" s="1"/>
  <c r="C60" i="3"/>
  <c r="C61" i="3" s="1"/>
  <c r="F56" i="3"/>
  <c r="F57" i="3" s="1"/>
  <c r="G57" i="3" s="1"/>
  <c r="E56" i="3"/>
  <c r="E57" i="3" s="1"/>
  <c r="D56" i="3"/>
  <c r="D57" i="3" s="1"/>
  <c r="C56" i="3"/>
  <c r="C57" i="3" s="1"/>
  <c r="F52" i="3"/>
  <c r="F53" i="3" s="1"/>
  <c r="F54" i="3" s="1"/>
  <c r="G54" i="3" s="1"/>
  <c r="E52" i="3"/>
  <c r="E53" i="3" s="1"/>
  <c r="E54" i="3" s="1"/>
  <c r="D52" i="3"/>
  <c r="D53" i="3" s="1"/>
  <c r="D54" i="3" s="1"/>
  <c r="C52" i="3"/>
  <c r="C53" i="3" s="1"/>
  <c r="C54" i="3" s="1"/>
  <c r="K49" i="3"/>
  <c r="F48" i="3"/>
  <c r="F49" i="3" s="1"/>
  <c r="F50" i="3" s="1"/>
  <c r="G50" i="3" s="1"/>
  <c r="G49" i="3" s="1"/>
  <c r="E48" i="3"/>
  <c r="E49" i="3" s="1"/>
  <c r="E50" i="3" s="1"/>
  <c r="D48" i="3"/>
  <c r="D49" i="3" s="1"/>
  <c r="D50" i="3" s="1"/>
  <c r="C48" i="3"/>
  <c r="C49" i="3" s="1"/>
  <c r="C50" i="3" s="1"/>
  <c r="E36" i="3"/>
  <c r="E38" i="3" s="1"/>
  <c r="D36" i="3"/>
  <c r="D38" i="3" s="1"/>
  <c r="C36" i="3"/>
  <c r="C38" i="3" s="1"/>
  <c r="G25" i="3"/>
  <c r="H25" i="3" s="1"/>
  <c r="I25" i="3" s="1"/>
  <c r="J25" i="3" s="1"/>
  <c r="K25" i="3" s="1"/>
  <c r="F23" i="3"/>
  <c r="F27" i="3" s="1"/>
  <c r="E23" i="3"/>
  <c r="E27" i="3" s="1"/>
  <c r="D23" i="3"/>
  <c r="D27" i="3" s="1"/>
  <c r="C23" i="3"/>
  <c r="C27" i="3" s="1"/>
  <c r="G14" i="3"/>
  <c r="H14" i="3" s="1"/>
  <c r="I14" i="3" s="1"/>
  <c r="J14" i="3" s="1"/>
  <c r="K14" i="3" s="1"/>
  <c r="G13" i="3"/>
  <c r="H13" i="3" s="1"/>
  <c r="I13" i="3" s="1"/>
  <c r="J13" i="3" s="1"/>
  <c r="K13" i="3" s="1"/>
  <c r="G11" i="3"/>
  <c r="H11" i="3" s="1"/>
  <c r="I11" i="3" s="1"/>
  <c r="J11" i="3" s="1"/>
  <c r="K11" i="3" s="1"/>
  <c r="F9" i="3"/>
  <c r="F15" i="3" s="1"/>
  <c r="E9" i="3"/>
  <c r="E15" i="3" s="1"/>
  <c r="D9" i="3"/>
  <c r="D15" i="3" s="1"/>
  <c r="C9" i="3"/>
  <c r="C15" i="3" s="1"/>
  <c r="D2" i="3"/>
  <c r="E2" i="3" s="1"/>
  <c r="F2" i="3" s="1"/>
  <c r="G2" i="3" s="1"/>
  <c r="H2" i="3" s="1"/>
  <c r="I2" i="3" s="1"/>
  <c r="J2" i="3" s="1"/>
  <c r="K2" i="3" s="1"/>
  <c r="F75" i="2"/>
  <c r="E75" i="2"/>
  <c r="D75" i="2"/>
  <c r="C75" i="2"/>
  <c r="F74" i="2"/>
  <c r="E74" i="2"/>
  <c r="D74" i="2"/>
  <c r="C74" i="2"/>
  <c r="K73" i="2"/>
  <c r="J73" i="2"/>
  <c r="I73" i="2"/>
  <c r="H73" i="2"/>
  <c r="G73" i="2"/>
  <c r="F73" i="2"/>
  <c r="E73" i="2"/>
  <c r="D73" i="2"/>
  <c r="C73" i="2"/>
  <c r="K72" i="2"/>
  <c r="J72" i="2"/>
  <c r="I72" i="2"/>
  <c r="H72" i="2"/>
  <c r="G72" i="2"/>
  <c r="F72" i="2"/>
  <c r="E72" i="2"/>
  <c r="D72" i="2"/>
  <c r="K71" i="2"/>
  <c r="J71" i="2"/>
  <c r="I71" i="2"/>
  <c r="H71" i="2"/>
  <c r="G71" i="2"/>
  <c r="F71" i="2"/>
  <c r="E71" i="2"/>
  <c r="D71" i="2"/>
  <c r="C71" i="2"/>
  <c r="K70" i="2"/>
  <c r="J70" i="2"/>
  <c r="I70" i="2"/>
  <c r="H70" i="2"/>
  <c r="G70" i="2"/>
  <c r="F70" i="2"/>
  <c r="E70" i="2"/>
  <c r="D70" i="2"/>
  <c r="C70" i="2"/>
  <c r="G63" i="2"/>
  <c r="H63" i="2" s="1"/>
  <c r="I63" i="2" s="1"/>
  <c r="J63" i="2" s="1"/>
  <c r="F63" i="2"/>
  <c r="E63" i="2"/>
  <c r="D63" i="2"/>
  <c r="C63" i="2"/>
  <c r="K60" i="2"/>
  <c r="J60" i="2"/>
  <c r="I60" i="2"/>
  <c r="H60" i="2"/>
  <c r="G60" i="2"/>
  <c r="F59" i="2"/>
  <c r="E59" i="2"/>
  <c r="D59" i="2"/>
  <c r="C59" i="2"/>
  <c r="F55" i="2"/>
  <c r="E55" i="2"/>
  <c r="D55" i="2"/>
  <c r="C55" i="2"/>
  <c r="E54" i="2"/>
  <c r="D54" i="2"/>
  <c r="C54" i="2"/>
  <c r="F53" i="2"/>
  <c r="E53" i="2"/>
  <c r="D53" i="2"/>
  <c r="C53" i="2"/>
  <c r="F51" i="2"/>
  <c r="E51" i="2"/>
  <c r="D51" i="2"/>
  <c r="C51" i="2"/>
  <c r="D50" i="2"/>
  <c r="F47" i="2"/>
  <c r="E47" i="2"/>
  <c r="D47" i="2"/>
  <c r="C47" i="2"/>
  <c r="E46" i="2"/>
  <c r="D46" i="2"/>
  <c r="C46" i="2"/>
  <c r="F45" i="2"/>
  <c r="E45" i="2"/>
  <c r="D45" i="2"/>
  <c r="C45" i="2"/>
  <c r="F43" i="2"/>
  <c r="E43" i="2"/>
  <c r="D43" i="2"/>
  <c r="C43" i="2"/>
  <c r="E42" i="2"/>
  <c r="D42" i="2"/>
  <c r="C42" i="2"/>
  <c r="F39" i="2"/>
  <c r="E39" i="2"/>
  <c r="D39" i="2"/>
  <c r="C39" i="2"/>
  <c r="E38" i="2"/>
  <c r="D38" i="2"/>
  <c r="C38" i="2"/>
  <c r="F37" i="2"/>
  <c r="E37" i="2"/>
  <c r="D37" i="2"/>
  <c r="C37" i="2"/>
  <c r="F34" i="2"/>
  <c r="E34" i="2"/>
  <c r="D34" i="2"/>
  <c r="C34" i="2"/>
  <c r="F32" i="2"/>
  <c r="E32" i="2"/>
  <c r="D32" i="2"/>
  <c r="F30" i="2"/>
  <c r="E30" i="2"/>
  <c r="D30" i="2"/>
  <c r="C30" i="2"/>
  <c r="E29" i="2"/>
  <c r="F26" i="2"/>
  <c r="E26" i="2"/>
  <c r="D26" i="2"/>
  <c r="C26" i="2"/>
  <c r="D25" i="2"/>
  <c r="F24" i="2"/>
  <c r="E24" i="2"/>
  <c r="D24" i="2"/>
  <c r="C24" i="2"/>
  <c r="K22" i="2"/>
  <c r="G22" i="2"/>
  <c r="F22" i="2"/>
  <c r="E22" i="2"/>
  <c r="D22" i="2"/>
  <c r="C22" i="2"/>
  <c r="E21" i="2"/>
  <c r="D21" i="2"/>
  <c r="F18" i="2"/>
  <c r="E18" i="2"/>
  <c r="D18" i="2"/>
  <c r="C18" i="2"/>
  <c r="K14" i="2"/>
  <c r="J14" i="2"/>
  <c r="G14" i="2"/>
  <c r="F14" i="2"/>
  <c r="E14" i="2"/>
  <c r="D14" i="2"/>
  <c r="C14" i="2"/>
  <c r="F12" i="2"/>
  <c r="E12" i="2"/>
  <c r="D12" i="2"/>
  <c r="C12" i="2"/>
  <c r="K11" i="2"/>
  <c r="G11" i="2"/>
  <c r="F11" i="2"/>
  <c r="E11" i="2"/>
  <c r="D11" i="2"/>
  <c r="C11" i="2"/>
  <c r="K8" i="2"/>
  <c r="K68" i="3" s="1"/>
  <c r="J8" i="2"/>
  <c r="J22" i="2" s="1"/>
  <c r="I8" i="2"/>
  <c r="I68" i="3" s="1"/>
  <c r="H8" i="2"/>
  <c r="H22" i="2" s="1"/>
  <c r="G18" i="2"/>
  <c r="F8" i="2"/>
  <c r="E8" i="2"/>
  <c r="D8" i="2"/>
  <c r="C8" i="2"/>
  <c r="F6" i="2"/>
  <c r="E6" i="2"/>
  <c r="D6" i="2"/>
  <c r="C6" i="2"/>
  <c r="K4" i="2"/>
  <c r="J4" i="2"/>
  <c r="I4" i="2"/>
  <c r="H4" i="2"/>
  <c r="G4" i="2"/>
  <c r="F4" i="2"/>
  <c r="E4" i="2"/>
  <c r="D4" i="2"/>
  <c r="K35" i="1"/>
  <c r="J35" i="1"/>
  <c r="I35" i="1"/>
  <c r="H35" i="1"/>
  <c r="G35" i="1"/>
  <c r="F35" i="1"/>
  <c r="E35" i="1"/>
  <c r="D35" i="1"/>
  <c r="C35" i="1"/>
  <c r="J33" i="1"/>
  <c r="I33" i="1"/>
  <c r="H33" i="1"/>
  <c r="G33" i="1"/>
  <c r="F33" i="1"/>
  <c r="E33" i="1"/>
  <c r="D33" i="1"/>
  <c r="E32" i="1"/>
  <c r="D32" i="1"/>
  <c r="F31" i="1"/>
  <c r="K30" i="1"/>
  <c r="J30" i="1"/>
  <c r="I30" i="1"/>
  <c r="H30" i="1"/>
  <c r="G30" i="1"/>
  <c r="J28" i="1"/>
  <c r="I28" i="1"/>
  <c r="H28" i="1"/>
  <c r="G28" i="1"/>
  <c r="F28" i="1"/>
  <c r="E28" i="1"/>
  <c r="D28" i="1"/>
  <c r="F26" i="1"/>
  <c r="K25" i="1"/>
  <c r="J25" i="1"/>
  <c r="I25" i="1"/>
  <c r="H25" i="1"/>
  <c r="G25" i="1"/>
  <c r="J23" i="1"/>
  <c r="I23" i="1"/>
  <c r="H23" i="1"/>
  <c r="G23" i="1"/>
  <c r="F23" i="1"/>
  <c r="E23" i="1"/>
  <c r="D23" i="1"/>
  <c r="F21" i="1"/>
  <c r="K20" i="1"/>
  <c r="J20" i="1"/>
  <c r="I20" i="1"/>
  <c r="H20" i="1"/>
  <c r="G20" i="1"/>
  <c r="J18" i="1"/>
  <c r="I18" i="1"/>
  <c r="H18" i="1"/>
  <c r="G18" i="1"/>
  <c r="F18" i="1"/>
  <c r="E18" i="1"/>
  <c r="D18" i="1"/>
  <c r="F16" i="1"/>
  <c r="K15" i="1"/>
  <c r="J15" i="1"/>
  <c r="I15" i="1"/>
  <c r="H15" i="1"/>
  <c r="G15" i="1"/>
  <c r="J13" i="1"/>
  <c r="I13" i="1"/>
  <c r="H13" i="1"/>
  <c r="G13" i="1"/>
  <c r="F13" i="1"/>
  <c r="E13" i="1"/>
  <c r="D13" i="1"/>
  <c r="F11" i="1"/>
  <c r="E11" i="1"/>
  <c r="K10" i="1"/>
  <c r="J10" i="1"/>
  <c r="I10" i="1"/>
  <c r="H10" i="1"/>
  <c r="G10" i="1"/>
  <c r="J8" i="1"/>
  <c r="I8" i="1"/>
  <c r="H8" i="1"/>
  <c r="G8" i="1"/>
  <c r="F8" i="1"/>
  <c r="E8" i="1"/>
  <c r="D8" i="1"/>
  <c r="K5" i="1"/>
  <c r="J5" i="1"/>
  <c r="I5" i="1"/>
  <c r="H5" i="1"/>
  <c r="G5" i="1"/>
  <c r="K3" i="1"/>
  <c r="J3" i="1"/>
  <c r="I3" i="1"/>
  <c r="H3" i="1"/>
  <c r="G3" i="1"/>
  <c r="F3" i="1"/>
  <c r="E3" i="1"/>
  <c r="D3" i="1"/>
  <c r="D7" i="4" l="1"/>
  <c r="F7" i="4"/>
  <c r="F22" i="4"/>
  <c r="C7" i="4"/>
  <c r="C22" i="4"/>
  <c r="G7" i="4"/>
  <c r="H18" i="2"/>
  <c r="H68" i="3"/>
  <c r="H11" i="2"/>
  <c r="G77" i="2"/>
  <c r="H14" i="2"/>
  <c r="H77" i="2" s="1"/>
  <c r="I22" i="2"/>
  <c r="G48" i="3"/>
  <c r="G6" i="3" s="1"/>
  <c r="C11" i="4" s="1"/>
  <c r="J18" i="2"/>
  <c r="J77" i="2" s="1"/>
  <c r="J68" i="3"/>
  <c r="K77" i="2"/>
  <c r="G8" i="5" s="1"/>
  <c r="K24" i="3" s="1"/>
  <c r="I18" i="2"/>
  <c r="J11" i="2"/>
  <c r="I14" i="2"/>
  <c r="I11" i="2" s="1"/>
  <c r="K48" i="3"/>
  <c r="K6" i="3" s="1"/>
  <c r="K18" i="2"/>
  <c r="E26" i="6"/>
  <c r="F24" i="6" s="1"/>
  <c r="F25" i="6" s="1"/>
  <c r="F26" i="6"/>
  <c r="G24" i="6" s="1"/>
  <c r="G26" i="6" s="1"/>
  <c r="D26" i="6"/>
  <c r="E24" i="6" s="1"/>
  <c r="G22" i="4"/>
  <c r="D22" i="4"/>
  <c r="H50" i="3"/>
  <c r="I50" i="3" s="1"/>
  <c r="G53" i="3"/>
  <c r="G52" i="3" s="1"/>
  <c r="G7" i="3" s="1"/>
  <c r="C12" i="4" s="1"/>
  <c r="H54" i="3"/>
  <c r="I65" i="3"/>
  <c r="H65" i="3"/>
  <c r="K65" i="3"/>
  <c r="G65" i="3"/>
  <c r="J65" i="3"/>
  <c r="G70" i="3"/>
  <c r="G22" i="3" s="1"/>
  <c r="C16" i="4" s="1"/>
  <c r="H71" i="3"/>
  <c r="H57" i="3"/>
  <c r="G56" i="3"/>
  <c r="C25" i="6"/>
  <c r="D24" i="6"/>
  <c r="H73" i="3"/>
  <c r="C13" i="5"/>
  <c r="C39" i="3"/>
  <c r="C41" i="3" s="1"/>
  <c r="D39" i="3"/>
  <c r="D41" i="3" s="1"/>
  <c r="E39" i="3"/>
  <c r="E41" i="3" s="1"/>
  <c r="F38" i="3"/>
  <c r="F39" i="3" s="1"/>
  <c r="K30" i="2"/>
  <c r="H15" i="6"/>
  <c r="G6" i="6"/>
  <c r="K12" i="6"/>
  <c r="E25" i="6" l="1"/>
  <c r="D25" i="6"/>
  <c r="C8" i="5"/>
  <c r="C6" i="5" s="1"/>
  <c r="E22" i="4"/>
  <c r="E7" i="4"/>
  <c r="F15" i="4"/>
  <c r="I77" i="2"/>
  <c r="H70" i="3"/>
  <c r="H22" i="3" s="1"/>
  <c r="G28" i="6"/>
  <c r="H24" i="6"/>
  <c r="H26" i="6" s="1"/>
  <c r="H28" i="6" s="1"/>
  <c r="G20" i="5"/>
  <c r="H49" i="3"/>
  <c r="H48" i="3" s="1"/>
  <c r="H6" i="3" s="1"/>
  <c r="D16" i="4"/>
  <c r="G8" i="3"/>
  <c r="C13" i="4" s="1"/>
  <c r="G15" i="4"/>
  <c r="C15" i="4"/>
  <c r="F41" i="3"/>
  <c r="H56" i="3"/>
  <c r="I57" i="3"/>
  <c r="C12" i="5"/>
  <c r="I71" i="3"/>
  <c r="I70" i="3" s="1"/>
  <c r="I22" i="3" s="1"/>
  <c r="I73" i="3"/>
  <c r="D13" i="5"/>
  <c r="D8" i="5" s="1"/>
  <c r="I24" i="6"/>
  <c r="I26" i="6" s="1"/>
  <c r="I28" i="6" s="1"/>
  <c r="J50" i="3"/>
  <c r="J49" i="3" s="1"/>
  <c r="J48" i="3" s="1"/>
  <c r="J6" i="3" s="1"/>
  <c r="I49" i="3"/>
  <c r="I48" i="3" s="1"/>
  <c r="I6" i="3" s="1"/>
  <c r="I54" i="3"/>
  <c r="H53" i="3"/>
  <c r="H52" i="3" s="1"/>
  <c r="H7" i="3" s="1"/>
  <c r="G12" i="6"/>
  <c r="G7" i="6" s="1"/>
  <c r="G8" i="6" s="1"/>
  <c r="G5" i="6"/>
  <c r="H4" i="6"/>
  <c r="I15" i="6"/>
  <c r="H6" i="6"/>
  <c r="G24" i="3" l="1"/>
  <c r="C20" i="5"/>
  <c r="C24" i="5" s="1"/>
  <c r="G32" i="2" s="1"/>
  <c r="G34" i="2" s="1"/>
  <c r="K19" i="3"/>
  <c r="D12" i="4"/>
  <c r="D11" i="4"/>
  <c r="D15" i="4"/>
  <c r="E15" i="4"/>
  <c r="H24" i="3"/>
  <c r="D20" i="5"/>
  <c r="E11" i="4"/>
  <c r="H8" i="3"/>
  <c r="E16" i="4"/>
  <c r="J71" i="3"/>
  <c r="J70" i="3" s="1"/>
  <c r="J22" i="3" s="1"/>
  <c r="J54" i="3"/>
  <c r="I53" i="3"/>
  <c r="I52" i="3" s="1"/>
  <c r="I7" i="3" s="1"/>
  <c r="J24" i="6"/>
  <c r="J26" i="6" s="1"/>
  <c r="J28" i="6" s="1"/>
  <c r="F11" i="4"/>
  <c r="G11" i="4"/>
  <c r="J73" i="3"/>
  <c r="F13" i="5" s="1"/>
  <c r="F8" i="5" s="1"/>
  <c r="E13" i="5"/>
  <c r="E8" i="5" s="1"/>
  <c r="I56" i="3"/>
  <c r="J57" i="3"/>
  <c r="H12" i="6"/>
  <c r="H7" i="6" s="1"/>
  <c r="H8" i="6" s="1"/>
  <c r="H5" i="6"/>
  <c r="I4" i="6"/>
  <c r="J15" i="6"/>
  <c r="J6" i="6" s="1"/>
  <c r="I6" i="6"/>
  <c r="D17" i="5" l="1"/>
  <c r="D18" i="5" s="1"/>
  <c r="D25" i="4" s="1"/>
  <c r="D12" i="5"/>
  <c r="C19" i="5"/>
  <c r="C18" i="5"/>
  <c r="C25" i="4" s="1"/>
  <c r="G19" i="3"/>
  <c r="H19" i="3"/>
  <c r="E12" i="4"/>
  <c r="D13" i="4"/>
  <c r="C8" i="4"/>
  <c r="C27" i="4" s="1"/>
  <c r="F12" i="5"/>
  <c r="I24" i="3"/>
  <c r="G12" i="5"/>
  <c r="J24" i="3"/>
  <c r="G39" i="2"/>
  <c r="G43" i="2" s="1"/>
  <c r="G64" i="3" s="1"/>
  <c r="G21" i="3" s="1"/>
  <c r="F20" i="5"/>
  <c r="K71" i="3"/>
  <c r="K70" i="3" s="1"/>
  <c r="K22" i="3" s="1"/>
  <c r="D24" i="5"/>
  <c r="E17" i="5"/>
  <c r="E20" i="5"/>
  <c r="I8" i="3"/>
  <c r="F16" i="4"/>
  <c r="K24" i="6"/>
  <c r="K26" i="6" s="1"/>
  <c r="K28" i="6" s="1"/>
  <c r="G16" i="4"/>
  <c r="E12" i="5"/>
  <c r="K57" i="3"/>
  <c r="K56" i="3" s="1"/>
  <c r="J56" i="3"/>
  <c r="J53" i="3"/>
  <c r="J52" i="3" s="1"/>
  <c r="J7" i="3" s="1"/>
  <c r="K54" i="3"/>
  <c r="K53" i="3" s="1"/>
  <c r="K52" i="3" s="1"/>
  <c r="K7" i="3" s="1"/>
  <c r="I5" i="6"/>
  <c r="I12" i="6"/>
  <c r="J4" i="6"/>
  <c r="J5" i="6" s="1"/>
  <c r="K4" i="6"/>
  <c r="K5" i="6" s="1"/>
  <c r="J12" i="6"/>
  <c r="I7" i="6"/>
  <c r="I8" i="6" s="1"/>
  <c r="H32" i="2" l="1"/>
  <c r="H34" i="2" s="1"/>
  <c r="D19" i="5"/>
  <c r="G23" i="3"/>
  <c r="G27" i="3" s="1"/>
  <c r="E18" i="5"/>
  <c r="E25" i="4" s="1"/>
  <c r="I19" i="3"/>
  <c r="J19" i="3"/>
  <c r="F12" i="4"/>
  <c r="E13" i="4"/>
  <c r="D8" i="4"/>
  <c r="D27" i="4" s="1"/>
  <c r="H39" i="2"/>
  <c r="G17" i="5"/>
  <c r="G18" i="5" s="1"/>
  <c r="F17" i="5"/>
  <c r="F24" i="5" s="1"/>
  <c r="J32" i="2" s="1"/>
  <c r="J34" i="2" s="1"/>
  <c r="E24" i="5"/>
  <c r="I32" i="2" s="1"/>
  <c r="I34" i="2" s="1"/>
  <c r="E19" i="5"/>
  <c r="G25" i="4"/>
  <c r="K8" i="3"/>
  <c r="J8" i="3"/>
  <c r="G12" i="4"/>
  <c r="G47" i="2"/>
  <c r="C4" i="4" s="1"/>
  <c r="L14" i="4" s="1"/>
  <c r="C14" i="4"/>
  <c r="D9" i="9" s="1"/>
  <c r="D11" i="9" s="1"/>
  <c r="D15" i="9" s="1"/>
  <c r="D16" i="9" s="1"/>
  <c r="H43" i="2"/>
  <c r="H64" i="3" s="1"/>
  <c r="H21" i="3" s="1"/>
  <c r="H23" i="3" s="1"/>
  <c r="H27" i="3" s="1"/>
  <c r="J7" i="6"/>
  <c r="J8" i="6" s="1"/>
  <c r="F18" i="5" l="1"/>
  <c r="F25" i="4" s="1"/>
  <c r="F13" i="4"/>
  <c r="E8" i="4"/>
  <c r="E27" i="4" s="1"/>
  <c r="F8" i="4"/>
  <c r="F27" i="4" s="1"/>
  <c r="C9" i="4"/>
  <c r="C17" i="4" s="1"/>
  <c r="J39" i="2"/>
  <c r="J43" i="2" s="1"/>
  <c r="J64" i="3" s="1"/>
  <c r="J21" i="3" s="1"/>
  <c r="J23" i="3" s="1"/>
  <c r="J27" i="3" s="1"/>
  <c r="I39" i="2"/>
  <c r="I43" i="2" s="1"/>
  <c r="I64" i="3" s="1"/>
  <c r="I21" i="3" s="1"/>
  <c r="I23" i="3" s="1"/>
  <c r="I27" i="3" s="1"/>
  <c r="G19" i="5"/>
  <c r="G24" i="5"/>
  <c r="K32" i="2" s="1"/>
  <c r="K34" i="2" s="1"/>
  <c r="F19" i="5"/>
  <c r="G51" i="2"/>
  <c r="G37" i="3" s="1"/>
  <c r="G13" i="4"/>
  <c r="D14" i="4"/>
  <c r="E9" i="9" s="1"/>
  <c r="E11" i="9" s="1"/>
  <c r="E15" i="9" s="1"/>
  <c r="E16" i="9" s="1"/>
  <c r="H47" i="2"/>
  <c r="K7" i="6"/>
  <c r="K8" i="6" s="1"/>
  <c r="G8" i="4" l="1"/>
  <c r="G27" i="4" s="1"/>
  <c r="D4" i="4"/>
  <c r="D9" i="4" s="1"/>
  <c r="D17" i="4" s="1"/>
  <c r="K39" i="2"/>
  <c r="K43" i="2" s="1"/>
  <c r="K64" i="3" s="1"/>
  <c r="K21" i="3" s="1"/>
  <c r="K23" i="3" s="1"/>
  <c r="K27" i="3" s="1"/>
  <c r="J47" i="2"/>
  <c r="F14" i="4"/>
  <c r="G9" i="9" s="1"/>
  <c r="G11" i="9" s="1"/>
  <c r="G15" i="9" s="1"/>
  <c r="G16" i="9" s="1"/>
  <c r="I47" i="2"/>
  <c r="E14" i="4"/>
  <c r="F9" i="9" s="1"/>
  <c r="F11" i="9" s="1"/>
  <c r="F15" i="9" s="1"/>
  <c r="F16" i="9" s="1"/>
  <c r="E4" i="4" l="1"/>
  <c r="E9" i="4" s="1"/>
  <c r="E17" i="4" s="1"/>
  <c r="F4" i="4"/>
  <c r="F9" i="4" s="1"/>
  <c r="F17" i="4" s="1"/>
  <c r="K47" i="2"/>
  <c r="G14" i="4"/>
  <c r="H9" i="9" s="1"/>
  <c r="H11" i="9" s="1"/>
  <c r="H14" i="9" s="1"/>
  <c r="H15" i="9" s="1"/>
  <c r="H16" i="9" s="1"/>
  <c r="C22" i="9" s="1"/>
  <c r="C26" i="9" s="1"/>
  <c r="C28" i="9" s="1"/>
  <c r="H22" i="9" s="1"/>
  <c r="H27" i="6"/>
  <c r="G4" i="4" l="1"/>
  <c r="G9" i="4" s="1"/>
  <c r="G17" i="4" s="1"/>
  <c r="K51" i="2"/>
  <c r="G21" i="6"/>
  <c r="G19" i="6" s="1"/>
  <c r="G12" i="3" s="1"/>
  <c r="I27" i="6"/>
  <c r="H21" i="6" l="1"/>
  <c r="H19" i="6" s="1"/>
  <c r="H12" i="3" s="1"/>
  <c r="J27" i="6"/>
  <c r="I21" i="6" l="1"/>
  <c r="I19" i="6" s="1"/>
  <c r="I12" i="3" s="1"/>
  <c r="K27" i="6"/>
  <c r="K55" i="2"/>
  <c r="H51" i="2"/>
  <c r="H37" i="3" s="1"/>
  <c r="K59" i="2" l="1"/>
  <c r="K62" i="2" s="1"/>
  <c r="K75" i="2" s="1"/>
  <c r="G28" i="4" s="1"/>
  <c r="Q48" i="2"/>
  <c r="K21" i="6"/>
  <c r="K19" i="6" s="1"/>
  <c r="K12" i="3" s="1"/>
  <c r="J21" i="6"/>
  <c r="J19" i="6" s="1"/>
  <c r="J12" i="3" s="1"/>
  <c r="G55" i="2"/>
  <c r="I51" i="2"/>
  <c r="I37" i="3" s="1"/>
  <c r="H55" i="2"/>
  <c r="M48" i="2" l="1"/>
  <c r="G29" i="4"/>
  <c r="G31" i="4" s="1"/>
  <c r="H59" i="2"/>
  <c r="H62" i="2" s="1"/>
  <c r="H75" i="2" s="1"/>
  <c r="D28" i="4" s="1"/>
  <c r="N48" i="2"/>
  <c r="G59" i="2"/>
  <c r="G62" i="2" s="1"/>
  <c r="G75" i="2" s="1"/>
  <c r="G36" i="3" s="1"/>
  <c r="I55" i="2"/>
  <c r="G38" i="3" l="1"/>
  <c r="G39" i="3" s="1"/>
  <c r="H36" i="3"/>
  <c r="D29" i="4"/>
  <c r="D31" i="4" s="1"/>
  <c r="I59" i="2"/>
  <c r="I62" i="2" s="1"/>
  <c r="I75" i="2" s="1"/>
  <c r="E28" i="4" s="1"/>
  <c r="O48" i="2"/>
  <c r="J51" i="2"/>
  <c r="J37" i="3" s="1"/>
  <c r="K37" i="3" s="1"/>
  <c r="G32" i="3"/>
  <c r="H32" i="3" s="1"/>
  <c r="C28" i="4"/>
  <c r="I36" i="3" l="1"/>
  <c r="H38" i="3"/>
  <c r="H39" i="3" s="1"/>
  <c r="E29" i="4"/>
  <c r="E31" i="4" s="1"/>
  <c r="C29" i="4"/>
  <c r="C31" i="4" s="1"/>
  <c r="C33" i="4" s="1"/>
  <c r="I32" i="3"/>
  <c r="J55" i="2"/>
  <c r="I38" i="3" l="1"/>
  <c r="I39" i="3" s="1"/>
  <c r="G5" i="3"/>
  <c r="D32" i="4"/>
  <c r="D33" i="4" s="1"/>
  <c r="J59" i="2"/>
  <c r="J62" i="2" s="1"/>
  <c r="J75" i="2" s="1"/>
  <c r="F28" i="4" s="1"/>
  <c r="P48" i="2"/>
  <c r="J32" i="3" l="1"/>
  <c r="K32" i="3" s="1"/>
  <c r="J36" i="3"/>
  <c r="H5" i="3"/>
  <c r="E32" i="4"/>
  <c r="E33" i="4" s="1"/>
  <c r="G9" i="3"/>
  <c r="G15" i="3" s="1"/>
  <c r="F29" i="4"/>
  <c r="F31" i="4" s="1"/>
  <c r="G41" i="3" l="1"/>
  <c r="K36" i="3"/>
  <c r="K38" i="3" s="1"/>
  <c r="K39" i="3" s="1"/>
  <c r="J38" i="3"/>
  <c r="J39" i="3" s="1"/>
  <c r="I5" i="3"/>
  <c r="H9" i="3"/>
  <c r="H15" i="3" s="1"/>
  <c r="H41" i="3" s="1"/>
  <c r="F32" i="4"/>
  <c r="F33" i="4" s="1"/>
  <c r="G32" i="4" l="1"/>
  <c r="G33" i="4" s="1"/>
  <c r="J5" i="3"/>
  <c r="I9" i="3"/>
  <c r="I15" i="3" s="1"/>
  <c r="I41" i="3" s="1"/>
  <c r="K5" i="3" l="1"/>
  <c r="J9" i="3"/>
  <c r="J15" i="3" s="1"/>
  <c r="J41" i="3" s="1"/>
  <c r="K9" i="3" l="1"/>
  <c r="K15" i="3" s="1"/>
  <c r="K41" i="3" s="1"/>
</calcChain>
</file>

<file path=xl/sharedStrings.xml><?xml version="1.0" encoding="utf-8"?>
<sst xmlns="http://schemas.openxmlformats.org/spreadsheetml/2006/main" count="538" uniqueCount="439">
  <si>
    <t>Particulars</t>
  </si>
  <si>
    <t>Historical</t>
  </si>
  <si>
    <t>Forecast</t>
  </si>
  <si>
    <t>Unit</t>
  </si>
  <si>
    <t>North America</t>
  </si>
  <si>
    <t>Growth rate%</t>
  </si>
  <si>
    <t>Add/Less: Inorganic growth</t>
  </si>
  <si>
    <t>Organic</t>
  </si>
  <si>
    <t>Latin  America</t>
  </si>
  <si>
    <t>Europe</t>
  </si>
  <si>
    <t>Asia Pasific</t>
  </si>
  <si>
    <t>Africa/Eurasia</t>
  </si>
  <si>
    <t>Hill's Pet Nutrition</t>
  </si>
  <si>
    <t>Total Revenue</t>
  </si>
  <si>
    <t>Net sales</t>
  </si>
  <si>
    <t>Add/Less Extraordinary items</t>
  </si>
  <si>
    <t>Normalised Net sales</t>
  </si>
  <si>
    <t>Cost of sales</t>
  </si>
  <si>
    <t>Normalised  cost of sales</t>
  </si>
  <si>
    <t>Gross profit</t>
  </si>
  <si>
    <t>Normalised Gross Profit</t>
  </si>
  <si>
    <t>Selling, general and administrative expenses</t>
  </si>
  <si>
    <t>Normalised SG&amp;A</t>
  </si>
  <si>
    <t>Other (income) expense, net</t>
  </si>
  <si>
    <t>Normalised other (income) expenses,net</t>
  </si>
  <si>
    <t>Goodwill and intangible assets impairment charges</t>
  </si>
  <si>
    <t>Operating profit</t>
  </si>
  <si>
    <t>Normalised operating Profit</t>
  </si>
  <si>
    <t>Non-service related postretirement costs</t>
  </si>
  <si>
    <t>Normalised Non-service related postretirement cossts</t>
  </si>
  <si>
    <t>Interest Expense,(income),net</t>
  </si>
  <si>
    <t>Normalised Interest Expenses</t>
  </si>
  <si>
    <t>Income before income taxe</t>
  </si>
  <si>
    <t>Normalised Income before Income Taxes</t>
  </si>
  <si>
    <t>Provision for income taxes</t>
  </si>
  <si>
    <t>Normalised Provision for Income taxes</t>
  </si>
  <si>
    <t>Net income including noncontrolling interests</t>
  </si>
  <si>
    <t>Normalised Net Income Including non controlling interests</t>
  </si>
  <si>
    <t>Less: Net income attributable to noncontrolling interests</t>
  </si>
  <si>
    <t>Net income attributable to Colgate-Palmolive Company</t>
  </si>
  <si>
    <t xml:space="preserve">Normalised Net Income </t>
  </si>
  <si>
    <t>Earnings per common share, basic</t>
  </si>
  <si>
    <t>Earnings per common share, diluted</t>
  </si>
  <si>
    <t>Diluted EPS</t>
  </si>
  <si>
    <t>Average Shares outstanding- Diluted</t>
  </si>
  <si>
    <t>Dividend Per Share</t>
  </si>
  <si>
    <t>Dividend payout ratio</t>
  </si>
  <si>
    <t>Workings</t>
  </si>
  <si>
    <t>Gross profit margin%</t>
  </si>
  <si>
    <t>SG&amp;A</t>
  </si>
  <si>
    <t>Other income,expenses,Net</t>
  </si>
  <si>
    <t>effective tax %</t>
  </si>
  <si>
    <t>Net income attributed to non controlling interest</t>
  </si>
  <si>
    <t>Dividend</t>
  </si>
  <si>
    <t>Assets</t>
  </si>
  <si>
    <t>Current Assets</t>
  </si>
  <si>
    <t>Cash and cash equivalents</t>
  </si>
  <si>
    <t xml:space="preserve">Receivables </t>
  </si>
  <si>
    <t>Inventories</t>
  </si>
  <si>
    <t>Other current assets</t>
  </si>
  <si>
    <t>Total current assets</t>
  </si>
  <si>
    <t>Property, plant and equipment, net</t>
  </si>
  <si>
    <t>Goodwill</t>
  </si>
  <si>
    <t>Other intangible assets, net</t>
  </si>
  <si>
    <t>Deferred income taxes</t>
  </si>
  <si>
    <t>Other assets</t>
  </si>
  <si>
    <t>Total assets</t>
  </si>
  <si>
    <t>Liabilities and Shareholders’ Equity</t>
  </si>
  <si>
    <t>Current Liabilities</t>
  </si>
  <si>
    <t>Debt payable within one-year</t>
  </si>
  <si>
    <t>Accounts payable</t>
  </si>
  <si>
    <t>Accrued income taxes</t>
  </si>
  <si>
    <t>Other accruals</t>
  </si>
  <si>
    <t>Total current liabilities</t>
  </si>
  <si>
    <t>Long-term debt</t>
  </si>
  <si>
    <t>Other liabilities</t>
  </si>
  <si>
    <t>Total liabilities</t>
  </si>
  <si>
    <t>Commitments and contingent liabilities</t>
  </si>
  <si>
    <t>Shareholders’ Equity</t>
  </si>
  <si>
    <t>Common stock</t>
  </si>
  <si>
    <t>Additional paid-in capital</t>
  </si>
  <si>
    <t>Retained earning</t>
  </si>
  <si>
    <t>Accumulated other comprehensive income (loss)</t>
  </si>
  <si>
    <t>Umearned compensation</t>
  </si>
  <si>
    <t>Treasury stock, at cost</t>
  </si>
  <si>
    <t>Total Colgate-Palmolive Company shareholders’ equity</t>
  </si>
  <si>
    <t>Noncontrolling interests</t>
  </si>
  <si>
    <t>Total equity</t>
  </si>
  <si>
    <t>Total liabilities and equity</t>
  </si>
  <si>
    <t>check</t>
  </si>
  <si>
    <t xml:space="preserve"> </t>
  </si>
  <si>
    <t>Working Notes</t>
  </si>
  <si>
    <t>Current assets</t>
  </si>
  <si>
    <t>Receivables</t>
  </si>
  <si>
    <t>Receivables turnover Ratio</t>
  </si>
  <si>
    <t>Receivable days</t>
  </si>
  <si>
    <t>Inventory</t>
  </si>
  <si>
    <t>Inventory turnover Ratio</t>
  </si>
  <si>
    <t>Inventoy days</t>
  </si>
  <si>
    <t>Other current assets (as % of revenue)</t>
  </si>
  <si>
    <t>Accounts Payable</t>
  </si>
  <si>
    <t>Accrued income taxes as % of Income tax</t>
  </si>
  <si>
    <t xml:space="preserve">Other accruals </t>
  </si>
  <si>
    <t>other accruals as % of COGS</t>
  </si>
  <si>
    <t>Cash Flow from Operations</t>
  </si>
  <si>
    <t>Net income</t>
  </si>
  <si>
    <t>Depreciation &amp; Amortization</t>
  </si>
  <si>
    <t>Property,plant &amp; Equipment</t>
  </si>
  <si>
    <t>Opening Gross Block</t>
  </si>
  <si>
    <t>Add:Purchases</t>
  </si>
  <si>
    <t>Closing Gross Block</t>
  </si>
  <si>
    <t>Less: accumulated Depreciation</t>
  </si>
  <si>
    <t>Net Block</t>
  </si>
  <si>
    <t>Depreciation</t>
  </si>
  <si>
    <t>Rate of Depreciation</t>
  </si>
  <si>
    <t>Fixed Assets Tirnover Ratio</t>
  </si>
  <si>
    <t>Amortization</t>
  </si>
  <si>
    <t xml:space="preserve"> Depreciation &amp; Amortization</t>
  </si>
  <si>
    <t>Normalised EBITDA</t>
  </si>
  <si>
    <t>EBITDA Margin</t>
  </si>
  <si>
    <t>Other Intanzible assets</t>
  </si>
  <si>
    <t>Other Intanzible assets(with Indefnite life)</t>
  </si>
  <si>
    <t>Other Intanzible assets(with defnite life)</t>
  </si>
  <si>
    <t>Other Intanzible assets(with defnitie life)</t>
  </si>
  <si>
    <t>Less: accumulated amortization</t>
  </si>
  <si>
    <t>Opening Balance</t>
  </si>
  <si>
    <t>Add:Loan taken</t>
  </si>
  <si>
    <t>Less:Loan Repaid</t>
  </si>
  <si>
    <t>closing Balance</t>
  </si>
  <si>
    <t>$</t>
  </si>
  <si>
    <t>Average Interest Rate</t>
  </si>
  <si>
    <t>Interest Expenses</t>
  </si>
  <si>
    <t>Total Long term debt/EBITDA</t>
  </si>
  <si>
    <t>Add/Less:Non Cash Items</t>
  </si>
  <si>
    <t>Cash effects to changes in:</t>
  </si>
  <si>
    <t>Net Cash Provided by Operations</t>
  </si>
  <si>
    <t>Investing Activities</t>
  </si>
  <si>
    <t>Capital expenditures</t>
  </si>
  <si>
    <t>Net cash used in Investing Activities</t>
  </si>
  <si>
    <t>Financing Activities</t>
  </si>
  <si>
    <t>Dividends Paid</t>
  </si>
  <si>
    <t>Net Cash Used in Financing Activities</t>
  </si>
  <si>
    <t xml:space="preserve">Accounts Payable </t>
  </si>
  <si>
    <t>Other accurals</t>
  </si>
  <si>
    <t>Debt taken</t>
  </si>
  <si>
    <t>Debt repaid</t>
  </si>
  <si>
    <t>Interest paid</t>
  </si>
  <si>
    <t>Total cash generated during year</t>
  </si>
  <si>
    <t>Add:Opening balance</t>
  </si>
  <si>
    <t>Other Income</t>
  </si>
  <si>
    <t>Other income</t>
  </si>
  <si>
    <t>Cash flow from operations before working capital</t>
  </si>
  <si>
    <t>Closing Balance</t>
  </si>
  <si>
    <t>Accrued income tax</t>
  </si>
  <si>
    <t>Other liabilities (As % of Revenue)</t>
  </si>
  <si>
    <t xml:space="preserve"> Loans &amp; Notes Payable</t>
  </si>
  <si>
    <t>Notes &amp; Loans Payables</t>
  </si>
  <si>
    <t>current portion of long term debt</t>
  </si>
  <si>
    <t>Notes and loans payable as % of long term debt</t>
  </si>
  <si>
    <t>Average Interest rate</t>
  </si>
  <si>
    <t>Notes &amp; Loans Payable</t>
  </si>
  <si>
    <t>Interest expenses</t>
  </si>
  <si>
    <t>Accounts turnover ratio</t>
  </si>
  <si>
    <t>Account payable days</t>
  </si>
  <si>
    <t>EBIT</t>
  </si>
  <si>
    <t>Tax rate</t>
  </si>
  <si>
    <t>Less:Income taxes</t>
  </si>
  <si>
    <t>Net operating profit after tax(NOPAT)</t>
  </si>
  <si>
    <t>Add:Depreciation &amp;  Amortization</t>
  </si>
  <si>
    <t>Changes in Working capital</t>
  </si>
  <si>
    <t>Less:Capex</t>
  </si>
  <si>
    <t>FCFF</t>
  </si>
  <si>
    <t>Terminal Value</t>
  </si>
  <si>
    <t>Total cash flow</t>
  </si>
  <si>
    <t>PV of Cash flows</t>
  </si>
  <si>
    <t>Value of Firm</t>
  </si>
  <si>
    <t>Cost of Equity</t>
  </si>
  <si>
    <t>Returns from Market(Historical)</t>
  </si>
  <si>
    <t>Risk free rate of returns</t>
  </si>
  <si>
    <t>Date</t>
  </si>
  <si>
    <t>year</t>
  </si>
  <si>
    <t>Index Value</t>
  </si>
  <si>
    <t>Total Time</t>
  </si>
  <si>
    <t>CAGR</t>
  </si>
  <si>
    <t>Beta Calculation</t>
  </si>
  <si>
    <t>Colgate</t>
  </si>
  <si>
    <t>Price</t>
  </si>
  <si>
    <t>Returns</t>
  </si>
  <si>
    <t>Procter &amp; Gamble</t>
  </si>
  <si>
    <t>Kimberly-Clark</t>
  </si>
  <si>
    <t>Johnson &amp; Johnson</t>
  </si>
  <si>
    <t>Unilever</t>
  </si>
  <si>
    <t>NYSE</t>
  </si>
  <si>
    <t>Sep 07, 2025</t>
  </si>
  <si>
    <t>Aug 31, 2025</t>
  </si>
  <si>
    <t>Aug 24, 2025</t>
  </si>
  <si>
    <t>Aug 17, 2025</t>
  </si>
  <si>
    <t>Aug 10, 2025</t>
  </si>
  <si>
    <t>Aug 03, 2025</t>
  </si>
  <si>
    <t>Jul 27, 2025</t>
  </si>
  <si>
    <t>Jul 20, 2025</t>
  </si>
  <si>
    <t>Jul 13, 2025</t>
  </si>
  <si>
    <t>Jul 06, 2025</t>
  </si>
  <si>
    <t>Jun 29, 2025</t>
  </si>
  <si>
    <t>Jun 22, 2025</t>
  </si>
  <si>
    <t>Jun 15, 2025</t>
  </si>
  <si>
    <t>Jun 08, 2025</t>
  </si>
  <si>
    <t>Jun 01, 2025</t>
  </si>
  <si>
    <t>May 25, 2025</t>
  </si>
  <si>
    <t>May 18, 2025</t>
  </si>
  <si>
    <t>May 11, 2025</t>
  </si>
  <si>
    <t>May 04, 2025</t>
  </si>
  <si>
    <t>Apr 27, 2025</t>
  </si>
  <si>
    <t>Apr 20, 2025</t>
  </si>
  <si>
    <t>Apr 13, 2025</t>
  </si>
  <si>
    <t>Apr 06, 2025</t>
  </si>
  <si>
    <t>Mar 30, 2025</t>
  </si>
  <si>
    <t>Mar 23, 2025</t>
  </si>
  <si>
    <t>Mar 16, 2025</t>
  </si>
  <si>
    <t>Mar 09, 2025</t>
  </si>
  <si>
    <t>Mar 02, 2025</t>
  </si>
  <si>
    <t>Feb 23, 2025</t>
  </si>
  <si>
    <t>Feb 16, 2025</t>
  </si>
  <si>
    <t>Feb 09, 2025</t>
  </si>
  <si>
    <t>Feb 02, 2025</t>
  </si>
  <si>
    <t>Jan 26, 2025</t>
  </si>
  <si>
    <t>Jan 19, 2025</t>
  </si>
  <si>
    <t>Jan 12, 2025</t>
  </si>
  <si>
    <t>Jan 05, 2025</t>
  </si>
  <si>
    <t>Dec 29, 2024</t>
  </si>
  <si>
    <t>Dec 22, 2024</t>
  </si>
  <si>
    <t>Dec 15, 2024</t>
  </si>
  <si>
    <t>Dec 08, 2024</t>
  </si>
  <si>
    <t>Dec 01, 2024</t>
  </si>
  <si>
    <t>Nov 24, 2024</t>
  </si>
  <si>
    <t>Nov 17, 2024</t>
  </si>
  <si>
    <t>Nov 10, 2024</t>
  </si>
  <si>
    <t>Nov 03, 2024</t>
  </si>
  <si>
    <t>Oct 27, 2024</t>
  </si>
  <si>
    <t>Oct 20, 2024</t>
  </si>
  <si>
    <t>Oct 13, 2024</t>
  </si>
  <si>
    <t>Oct 06, 2024</t>
  </si>
  <si>
    <t>Sep 29, 2024</t>
  </si>
  <si>
    <t>Sep 22, 2024</t>
  </si>
  <si>
    <t>Sep 15, 2024</t>
  </si>
  <si>
    <t>Sep 08, 2024</t>
  </si>
  <si>
    <t>Sep 01, 2024</t>
  </si>
  <si>
    <t>Aug 25, 2024</t>
  </si>
  <si>
    <t>Aug 18, 2024</t>
  </si>
  <si>
    <t>Aug 11, 2024</t>
  </si>
  <si>
    <t>Aug 04, 2024</t>
  </si>
  <si>
    <t>Jul 28, 2024</t>
  </si>
  <si>
    <t>Jul 21, 2024</t>
  </si>
  <si>
    <t>Jul 14, 2024</t>
  </si>
  <si>
    <t>Jul 07, 2024</t>
  </si>
  <si>
    <t>Jun 30, 2024</t>
  </si>
  <si>
    <t>Jun 23, 2024</t>
  </si>
  <si>
    <t>Jun 16, 2024</t>
  </si>
  <si>
    <t>Jun 09, 2024</t>
  </si>
  <si>
    <t>Jun 02, 2024</t>
  </si>
  <si>
    <t>May 26, 2024</t>
  </si>
  <si>
    <t>May 19, 2024</t>
  </si>
  <si>
    <t>May 12, 2024</t>
  </si>
  <si>
    <t>May 05, 2024</t>
  </si>
  <si>
    <t>Apr 28, 2024</t>
  </si>
  <si>
    <t>Apr 21, 2024</t>
  </si>
  <si>
    <t>Apr 14, 2024</t>
  </si>
  <si>
    <t>Apr 07, 2024</t>
  </si>
  <si>
    <t>Mar 31, 2024</t>
  </si>
  <si>
    <t>Mar 24, 2024</t>
  </si>
  <si>
    <t>Mar 17, 2024</t>
  </si>
  <si>
    <t>Mar 10, 2024</t>
  </si>
  <si>
    <t>Mar 03, 2024</t>
  </si>
  <si>
    <t>Feb 25, 2024</t>
  </si>
  <si>
    <t>Feb 18, 2024</t>
  </si>
  <si>
    <t>Feb 11, 2024</t>
  </si>
  <si>
    <t>Feb 04, 2024</t>
  </si>
  <si>
    <t>Jan 28, 2024</t>
  </si>
  <si>
    <t>Jan 21, 2024</t>
  </si>
  <si>
    <t>Jan 14, 2024</t>
  </si>
  <si>
    <t>Jan 07, 2024</t>
  </si>
  <si>
    <t>Dec 31, 2023</t>
  </si>
  <si>
    <t>Dec 24, 2023</t>
  </si>
  <si>
    <t>Dec 17, 2023</t>
  </si>
  <si>
    <t>Dec 10, 2023</t>
  </si>
  <si>
    <t>Dec 03, 2023</t>
  </si>
  <si>
    <t>Nov 26, 2023</t>
  </si>
  <si>
    <t>Nov 19, 2023</t>
  </si>
  <si>
    <t>Nov 12, 2023</t>
  </si>
  <si>
    <t>Nov 05, 2023</t>
  </si>
  <si>
    <t>Oct 29, 2023</t>
  </si>
  <si>
    <t>Oct 22, 2023</t>
  </si>
  <si>
    <t>Oct 15, 2023</t>
  </si>
  <si>
    <t>Oct 08, 2023</t>
  </si>
  <si>
    <t>Oct 01, 2023</t>
  </si>
  <si>
    <t>Sep 24, 2023</t>
  </si>
  <si>
    <t>Sep 17, 2023</t>
  </si>
  <si>
    <t>Sep 10, 2023</t>
  </si>
  <si>
    <t>Sep 03, 2023</t>
  </si>
  <si>
    <t>Aug 27, 2023</t>
  </si>
  <si>
    <t>Aug 20, 2023</t>
  </si>
  <si>
    <t>Aug 13, 2023</t>
  </si>
  <si>
    <t>Aug 06, 2023</t>
  </si>
  <si>
    <t>Jul 30, 2023</t>
  </si>
  <si>
    <t>Jul 23, 2023</t>
  </si>
  <si>
    <t>Jul 16, 2023</t>
  </si>
  <si>
    <t>Jul 09, 2023</t>
  </si>
  <si>
    <t>Jul 02, 2023</t>
  </si>
  <si>
    <t>Jun 25, 2023</t>
  </si>
  <si>
    <t>Jun 18, 2023</t>
  </si>
  <si>
    <t>Jun 11, 2023</t>
  </si>
  <si>
    <t>Jun 04, 2023</t>
  </si>
  <si>
    <t>May 28, 2023</t>
  </si>
  <si>
    <t>May 21, 2023</t>
  </si>
  <si>
    <t>May 14, 2023</t>
  </si>
  <si>
    <t>May 07, 2023</t>
  </si>
  <si>
    <t>Apr 30, 2023</t>
  </si>
  <si>
    <t>Apr 23, 2023</t>
  </si>
  <si>
    <t>Apr 16, 2023</t>
  </si>
  <si>
    <t>Apr 09, 2023</t>
  </si>
  <si>
    <t>Apr 02, 2023</t>
  </si>
  <si>
    <t>Mar 26, 2023</t>
  </si>
  <si>
    <t>Mar 19, 2023</t>
  </si>
  <si>
    <t>Mar 12, 2023</t>
  </si>
  <si>
    <t>Mar 05, 2023</t>
  </si>
  <si>
    <t>Feb 26, 2023</t>
  </si>
  <si>
    <t>Feb 19, 2023</t>
  </si>
  <si>
    <t>Feb 12, 2023</t>
  </si>
  <si>
    <t>Feb 05, 2023</t>
  </si>
  <si>
    <t>Jan 29, 2023</t>
  </si>
  <si>
    <t>Jan 22, 2023</t>
  </si>
  <si>
    <t>Jan 15, 2023</t>
  </si>
  <si>
    <t>Jan 08, 2023</t>
  </si>
  <si>
    <t>Jan 01, 2023</t>
  </si>
  <si>
    <t>Dec 25, 2022</t>
  </si>
  <si>
    <t>Dec 18, 2022</t>
  </si>
  <si>
    <t>Dec 11, 2022</t>
  </si>
  <si>
    <t>Dec 04, 2022</t>
  </si>
  <si>
    <t>Nov 27, 2022</t>
  </si>
  <si>
    <t>Nov 20, 2022</t>
  </si>
  <si>
    <t>Nov 13, 2022</t>
  </si>
  <si>
    <t>Nov 06, 2022</t>
  </si>
  <si>
    <t>Oct 30, 2022</t>
  </si>
  <si>
    <t>Oct 23, 2022</t>
  </si>
  <si>
    <t>Oct 16, 2022</t>
  </si>
  <si>
    <t>Oct 09, 2022</t>
  </si>
  <si>
    <t>Oct 02, 2022</t>
  </si>
  <si>
    <t>Sep 25, 2022</t>
  </si>
  <si>
    <t>Sep 18, 2022</t>
  </si>
  <si>
    <t>Sep 11, 2022</t>
  </si>
  <si>
    <t>Sep 04, 2022</t>
  </si>
  <si>
    <t>Aug 28, 2022</t>
  </si>
  <si>
    <t>Aug 21, 2022</t>
  </si>
  <si>
    <t>Aug 14, 2022</t>
  </si>
  <si>
    <t>Aug 07, 2022</t>
  </si>
  <si>
    <t>Jul 31, 2022</t>
  </si>
  <si>
    <t>Jul 24, 2022</t>
  </si>
  <si>
    <t>Jul 17, 2022</t>
  </si>
  <si>
    <t>Jul 10, 2022</t>
  </si>
  <si>
    <t>Jul 03, 2022</t>
  </si>
  <si>
    <t>Jun 26, 2022</t>
  </si>
  <si>
    <t>Jun 19, 2022</t>
  </si>
  <si>
    <t>Jun 12, 2022</t>
  </si>
  <si>
    <t>Jun 05, 2022</t>
  </si>
  <si>
    <t>May 29, 2022</t>
  </si>
  <si>
    <t>May 22, 2022</t>
  </si>
  <si>
    <t>May 15, 2022</t>
  </si>
  <si>
    <t>May 08, 2022</t>
  </si>
  <si>
    <t>May 01, 2022</t>
  </si>
  <si>
    <t>Apr 24, 2022</t>
  </si>
  <si>
    <t>Apr 17, 2022</t>
  </si>
  <si>
    <t>Apr 10, 2022</t>
  </si>
  <si>
    <t>Apr 03, 2022</t>
  </si>
  <si>
    <t>Mar 27, 2022</t>
  </si>
  <si>
    <t>Mar 20, 2022</t>
  </si>
  <si>
    <t>Mar 13, 2022</t>
  </si>
  <si>
    <t>Mar 06, 2022</t>
  </si>
  <si>
    <t>Feb 27, 2022</t>
  </si>
  <si>
    <t>Feb 20, 2022</t>
  </si>
  <si>
    <t>Feb 13, 2022</t>
  </si>
  <si>
    <t>Feb 06, 2022</t>
  </si>
  <si>
    <t>Jan 30, 2022</t>
  </si>
  <si>
    <t>Jan 23, 2022</t>
  </si>
  <si>
    <t>Jan 16, 2022</t>
  </si>
  <si>
    <t>Jan 09, 2022</t>
  </si>
  <si>
    <t>Jan 02, 2022</t>
  </si>
  <si>
    <t>Dec 26, 2021</t>
  </si>
  <si>
    <t>Dec 19, 2021</t>
  </si>
  <si>
    <t>Dec 12, 2021</t>
  </si>
  <si>
    <t>Dec 05, 2021</t>
  </si>
  <si>
    <t>Nov 28, 2021</t>
  </si>
  <si>
    <t>Nov 21, 2021</t>
  </si>
  <si>
    <t>Nov 14, 2021</t>
  </si>
  <si>
    <t>Nov 07, 2021</t>
  </si>
  <si>
    <t>Oct 31, 2021</t>
  </si>
  <si>
    <t>Oct 24, 2021</t>
  </si>
  <si>
    <t>Oct 17, 2021</t>
  </si>
  <si>
    <t>Oct 10, 2021</t>
  </si>
  <si>
    <t>Oct 03, 2021</t>
  </si>
  <si>
    <t>Sep 26, 2021</t>
  </si>
  <si>
    <t>Sep 19, 2021</t>
  </si>
  <si>
    <t>Name</t>
  </si>
  <si>
    <t>Regression Beta</t>
  </si>
  <si>
    <t>Market Cap</t>
  </si>
  <si>
    <t>Debt</t>
  </si>
  <si>
    <t>Total capital</t>
  </si>
  <si>
    <t>Unlevered Beta</t>
  </si>
  <si>
    <t>Competitor</t>
  </si>
  <si>
    <t>Colgate Palmolive</t>
  </si>
  <si>
    <t>Peers</t>
  </si>
  <si>
    <t>Cost of Debt</t>
  </si>
  <si>
    <t>Marginal Tax Rate</t>
  </si>
  <si>
    <t>Average Unlevered Beta</t>
  </si>
  <si>
    <t>Relevered Beta</t>
  </si>
  <si>
    <t>Bottom-Up Beta</t>
  </si>
  <si>
    <t>Premium Based Method</t>
  </si>
  <si>
    <t>Market Based Method</t>
  </si>
  <si>
    <t>Yield of colgate range</t>
  </si>
  <si>
    <t>FV(Face Value)</t>
  </si>
  <si>
    <t>CMP</t>
  </si>
  <si>
    <t>Redemption</t>
  </si>
  <si>
    <t>Valuation Date</t>
  </si>
  <si>
    <t>Time to Maturity</t>
  </si>
  <si>
    <t>Coupon Rate</t>
  </si>
  <si>
    <t>Coupon Amount</t>
  </si>
  <si>
    <t>Cost of Debt(Pre-Tax)</t>
  </si>
  <si>
    <t>Cost of Debt(Post-Tax)</t>
  </si>
  <si>
    <t>Risk  free Rate</t>
  </si>
  <si>
    <t>Risk Premium</t>
  </si>
  <si>
    <t>Cost of Debt(pre-Tax)</t>
  </si>
  <si>
    <t>WACC</t>
  </si>
  <si>
    <t>Growth Rate</t>
  </si>
  <si>
    <t>Less: Value of Debt</t>
  </si>
  <si>
    <t>Add:Cash &amp; Cash Equivalents</t>
  </si>
  <si>
    <t>Add:Investments</t>
  </si>
  <si>
    <t>Value of Equity</t>
  </si>
  <si>
    <t>No.Of Shares Outstanding</t>
  </si>
  <si>
    <t>Fair Value/Share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</si>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</sst>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&quot;FY&quot;\ 0"/>
    <numFmt numFmtId="165" formatCode="_(* #,##0.0_);_(* \(#,##0.0\);_(* &quot;-&quot;_);_(@_)"/>
    <numFmt numFmtId="166" formatCode="_(* #,##0.00_);_(* \(#,##0.00\);_(* &quot;-&quot;_);_(@_)"/>
    <numFmt numFmtId="167" formatCode="_(* #,##0_);_(* \(#,##0\);_(* &quot;-&quot;??_);_(@_)"/>
    <numFmt numFmtId="168" formatCode="0.0%"/>
    <numFmt numFmtId="169" formatCode="0.0"/>
    <numFmt numFmtId="170" formatCode="[$-14009]dd/mm/yyyy;@"/>
    <numFmt numFmtId="171" formatCode="[$-F800]dddd\,\ mmmm\ dd\,\ yyyy"/>
    <numFmt numFmtId="172" formatCode="[$-14009]dd/mm/yy;@"/>
    <numFmt numFmtId="173" formatCode="[$-14009]d/m/yy;@"/>
    <numFmt numFmtId="174" formatCode="_(* #,##0.0_);_(* \(#,##0.0\);_(* &quot;-&quot;??_);_(@_)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rgb="FF000000"/>
      <name val="Arial"/>
      <family val="2"/>
    </font>
    <font>
      <sz val="11"/>
      <color theme="4" tint="-0.249977111117893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rgb="FF232526"/>
      <name val="Segoe UI"/>
      <family val="2"/>
    </font>
    <font>
      <sz val="11"/>
      <color rgb="FF232526"/>
      <name val="Segoe UI"/>
      <family val="2"/>
    </font>
    <font>
      <b/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</cellStyleXfs>
  <cellXfs count="331">
    <xf numFmtId="0" fontId="0" fillId="0" borderId="0" xfId="0"/>
    <xf numFmtId="0" fontId="12" fillId="2" borderId="0" xfId="0" applyFont="1" applyFill="1" applyAlignment="1">
      <alignment horizontal="center"/>
    </xf>
    <xf numFmtId="164" fontId="13" fillId="2" borderId="3" xfId="1" applyNumberFormat="1" applyFont="1" applyFill="1" applyBorder="1"/>
    <xf numFmtId="164" fontId="12" fillId="2" borderId="4" xfId="1" applyNumberFormat="1" applyFont="1" applyFill="1" applyBorder="1"/>
    <xf numFmtId="164" fontId="12" fillId="2" borderId="5" xfId="1" applyNumberFormat="1" applyFont="1" applyFill="1" applyBorder="1"/>
    <xf numFmtId="164" fontId="12" fillId="3" borderId="4" xfId="1" applyNumberFormat="1" applyFont="1" applyFill="1" applyBorder="1"/>
    <xf numFmtId="0" fontId="14" fillId="0" borderId="0" xfId="0" applyFont="1"/>
    <xf numFmtId="41" fontId="0" fillId="0" borderId="0" xfId="0" applyNumberFormat="1"/>
    <xf numFmtId="41" fontId="0" fillId="0" borderId="6" xfId="0" applyNumberFormat="1" applyBorder="1"/>
    <xf numFmtId="41" fontId="15" fillId="0" borderId="0" xfId="0" applyNumberFormat="1" applyFont="1"/>
    <xf numFmtId="41" fontId="0" fillId="0" borderId="7" xfId="0" applyNumberFormat="1" applyBorder="1"/>
    <xf numFmtId="0" fontId="14" fillId="0" borderId="8" xfId="0" applyFont="1" applyBorder="1"/>
    <xf numFmtId="0" fontId="0" fillId="0" borderId="8" xfId="0" applyBorder="1"/>
    <xf numFmtId="41" fontId="0" fillId="0" borderId="8" xfId="0" applyNumberFormat="1" applyBorder="1"/>
    <xf numFmtId="41" fontId="0" fillId="0" borderId="9" xfId="0" applyNumberFormat="1" applyBorder="1"/>
    <xf numFmtId="41" fontId="15" fillId="0" borderId="7" xfId="0" applyNumberFormat="1" applyFont="1" applyBorder="1"/>
    <xf numFmtId="0" fontId="0" fillId="0" borderId="7" xfId="0" applyBorder="1"/>
    <xf numFmtId="164" fontId="12" fillId="3" borderId="11" xfId="1" applyNumberFormat="1" applyFont="1" applyFill="1" applyBorder="1"/>
    <xf numFmtId="0" fontId="12" fillId="4" borderId="0" xfId="0" applyFont="1" applyFill="1" applyAlignment="1">
      <alignment horizontal="center"/>
    </xf>
    <xf numFmtId="164" fontId="12" fillId="4" borderId="0" xfId="1" applyNumberFormat="1" applyFont="1" applyFill="1" applyBorder="1"/>
    <xf numFmtId="41" fontId="16" fillId="0" borderId="0" xfId="0" applyNumberFormat="1" applyFont="1"/>
    <xf numFmtId="0" fontId="12" fillId="0" borderId="0" xfId="0" applyFont="1" applyAlignment="1">
      <alignment horizontal="center"/>
    </xf>
    <xf numFmtId="164" fontId="13" fillId="0" borderId="0" xfId="1" applyNumberFormat="1" applyFont="1" applyFill="1" applyBorder="1"/>
    <xf numFmtId="164" fontId="12" fillId="0" borderId="0" xfId="1" applyNumberFormat="1" applyFont="1" applyFill="1" applyBorder="1"/>
    <xf numFmtId="164" fontId="12" fillId="0" borderId="6" xfId="1" applyNumberFormat="1" applyFont="1" applyFill="1" applyBorder="1"/>
    <xf numFmtId="0" fontId="14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41" fontId="14" fillId="0" borderId="0" xfId="0" applyNumberFormat="1" applyFont="1"/>
    <xf numFmtId="41" fontId="14" fillId="0" borderId="7" xfId="0" applyNumberFormat="1" applyFont="1" applyBorder="1"/>
    <xf numFmtId="41" fontId="14" fillId="0" borderId="8" xfId="0" applyNumberFormat="1" applyFont="1" applyBorder="1"/>
    <xf numFmtId="41" fontId="14" fillId="0" borderId="9" xfId="0" applyNumberFormat="1" applyFont="1" applyBorder="1"/>
    <xf numFmtId="0" fontId="0" fillId="4" borderId="0" xfId="0" applyFill="1" applyAlignment="1">
      <alignment horizontal="left" indent="2"/>
    </xf>
    <xf numFmtId="0" fontId="0" fillId="4" borderId="0" xfId="0" applyFill="1"/>
    <xf numFmtId="41" fontId="15" fillId="4" borderId="0" xfId="0" applyNumberFormat="1" applyFont="1" applyFill="1"/>
    <xf numFmtId="41" fontId="14" fillId="0" borderId="7" xfId="1" applyNumberFormat="1" applyFont="1" applyBorder="1"/>
    <xf numFmtId="0" fontId="17" fillId="0" borderId="0" xfId="0" applyFont="1"/>
    <xf numFmtId="43" fontId="0" fillId="0" borderId="0" xfId="2" applyNumberFormat="1" applyFont="1"/>
    <xf numFmtId="9" fontId="0" fillId="0" borderId="0" xfId="2" applyFont="1"/>
    <xf numFmtId="9" fontId="0" fillId="0" borderId="0" xfId="0" applyNumberFormat="1"/>
    <xf numFmtId="43" fontId="0" fillId="0" borderId="0" xfId="0" applyNumberFormat="1"/>
    <xf numFmtId="41" fontId="16" fillId="0" borderId="0" xfId="1" applyNumberFormat="1" applyFont="1"/>
    <xf numFmtId="41" fontId="16" fillId="0" borderId="7" xfId="1" applyNumberFormat="1" applyFont="1" applyBorder="1"/>
    <xf numFmtId="41" fontId="18" fillId="0" borderId="0" xfId="1" applyNumberFormat="1" applyFont="1"/>
    <xf numFmtId="41" fontId="19" fillId="0" borderId="0" xfId="1" applyNumberFormat="1" applyFont="1"/>
    <xf numFmtId="41" fontId="19" fillId="0" borderId="7" xfId="1" applyNumberFormat="1" applyFont="1" applyBorder="1"/>
    <xf numFmtId="41" fontId="20" fillId="0" borderId="0" xfId="1" applyNumberFormat="1" applyFont="1"/>
    <xf numFmtId="41" fontId="20" fillId="0" borderId="7" xfId="1" applyNumberFormat="1" applyFont="1" applyBorder="1"/>
    <xf numFmtId="41" fontId="0" fillId="0" borderId="0" xfId="1" applyNumberFormat="1" applyFont="1"/>
    <xf numFmtId="41" fontId="14" fillId="0" borderId="0" xfId="1" applyNumberFormat="1" applyFont="1"/>
    <xf numFmtId="41" fontId="21" fillId="0" borderId="0" xfId="1" applyNumberFormat="1" applyFont="1"/>
    <xf numFmtId="0" fontId="14" fillId="0" borderId="12" xfId="0" applyFont="1" applyBorder="1"/>
    <xf numFmtId="0" fontId="0" fillId="0" borderId="12" xfId="0" applyBorder="1"/>
    <xf numFmtId="41" fontId="14" fillId="0" borderId="12" xfId="1" applyNumberFormat="1" applyFont="1" applyBorder="1"/>
    <xf numFmtId="41" fontId="14" fillId="0" borderId="13" xfId="1" applyNumberFormat="1" applyFont="1" applyBorder="1"/>
    <xf numFmtId="41" fontId="0" fillId="0" borderId="12" xfId="1" applyNumberFormat="1" applyFont="1" applyBorder="1"/>
    <xf numFmtId="41" fontId="0" fillId="0" borderId="7" xfId="1" applyNumberFormat="1" applyFont="1" applyBorder="1"/>
    <xf numFmtId="166" fontId="0" fillId="0" borderId="0" xfId="1" applyNumberFormat="1" applyFont="1"/>
    <xf numFmtId="9" fontId="0" fillId="0" borderId="0" xfId="1" applyNumberFormat="1" applyFont="1"/>
    <xf numFmtId="0" fontId="22" fillId="2" borderId="0" xfId="0" applyFont="1" applyFill="1" applyAlignment="1">
      <alignment horizontal="center"/>
    </xf>
    <xf numFmtId="164" fontId="23" fillId="2" borderId="3" xfId="1" applyNumberFormat="1" applyFont="1" applyFill="1" applyBorder="1"/>
    <xf numFmtId="164" fontId="22" fillId="2" borderId="4" xfId="1" applyNumberFormat="1" applyFont="1" applyFill="1" applyBorder="1"/>
    <xf numFmtId="164" fontId="22" fillId="2" borderId="5" xfId="1" applyNumberFormat="1" applyFont="1" applyFill="1" applyBorder="1"/>
    <xf numFmtId="164" fontId="22" fillId="3" borderId="4" xfId="1" applyNumberFormat="1" applyFont="1" applyFill="1" applyBorder="1" applyAlignment="1">
      <alignment horizontal="right" vertical="center"/>
    </xf>
    <xf numFmtId="164" fontId="12" fillId="0" borderId="0" xfId="1" applyNumberFormat="1" applyFont="1" applyFill="1" applyBorder="1" applyAlignment="1">
      <alignment horizontal="right" vertical="center"/>
    </xf>
    <xf numFmtId="0" fontId="24" fillId="0" borderId="0" xfId="0" applyFont="1"/>
    <xf numFmtId="167" fontId="25" fillId="0" borderId="0" xfId="1" applyNumberFormat="1" applyFont="1" applyAlignment="1">
      <alignment horizontal="right"/>
    </xf>
    <xf numFmtId="167" fontId="25" fillId="0" borderId="7" xfId="1" applyNumberFormat="1" applyFont="1" applyBorder="1" applyAlignment="1">
      <alignment horizontal="right"/>
    </xf>
    <xf numFmtId="167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8" fontId="19" fillId="0" borderId="7" xfId="0" applyNumberFormat="1" applyFont="1" applyBorder="1" applyAlignment="1">
      <alignment horizontal="right"/>
    </xf>
    <xf numFmtId="168" fontId="0" fillId="0" borderId="0" xfId="0" applyNumberFormat="1" applyAlignment="1">
      <alignment horizontal="right" vertical="center"/>
    </xf>
    <xf numFmtId="168" fontId="25" fillId="0" borderId="0" xfId="0" applyNumberFormat="1" applyFont="1" applyAlignment="1">
      <alignment horizontal="right"/>
    </xf>
    <xf numFmtId="168" fontId="25" fillId="0" borderId="7" xfId="0" applyNumberFormat="1" applyFont="1" applyBorder="1" applyAlignment="1">
      <alignment horizontal="right"/>
    </xf>
    <xf numFmtId="168" fontId="20" fillId="0" borderId="0" xfId="0" applyNumberFormat="1" applyFont="1" applyAlignment="1">
      <alignment horizontal="right"/>
    </xf>
    <xf numFmtId="168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9" fontId="25" fillId="0" borderId="0" xfId="0" applyNumberFormat="1" applyFont="1" applyAlignment="1">
      <alignment horizontal="right"/>
    </xf>
    <xf numFmtId="168" fontId="0" fillId="0" borderId="0" xfId="2" applyNumberFormat="1" applyFont="1" applyAlignment="1">
      <alignment horizontal="right" vertical="center"/>
    </xf>
    <xf numFmtId="9" fontId="0" fillId="0" borderId="0" xfId="2" applyFont="1" applyAlignment="1">
      <alignment horizontal="right" vertical="center"/>
    </xf>
    <xf numFmtId="9" fontId="25" fillId="0" borderId="0" xfId="0" applyNumberFormat="1" applyFont="1" applyAlignment="1">
      <alignment horizontal="right" vertical="center"/>
    </xf>
    <xf numFmtId="41" fontId="25" fillId="0" borderId="0" xfId="1" applyNumberFormat="1" applyFont="1" applyAlignment="1">
      <alignment horizontal="right"/>
    </xf>
    <xf numFmtId="41" fontId="25" fillId="0" borderId="7" xfId="1" applyNumberFormat="1" applyFont="1" applyBorder="1" applyAlignment="1">
      <alignment horizontal="right"/>
    </xf>
    <xf numFmtId="0" fontId="26" fillId="0" borderId="8" xfId="0" applyFont="1" applyBorder="1"/>
    <xf numFmtId="167" fontId="14" fillId="0" borderId="8" xfId="1" applyNumberFormat="1" applyFont="1" applyBorder="1"/>
    <xf numFmtId="167" fontId="14" fillId="0" borderId="9" xfId="1" applyNumberFormat="1" applyFont="1" applyBorder="1"/>
    <xf numFmtId="164" fontId="22" fillId="3" borderId="11" xfId="1" applyNumberFormat="1" applyFont="1" applyFill="1" applyBorder="1" applyAlignment="1">
      <alignment horizontal="right" vertical="center"/>
    </xf>
    <xf numFmtId="41" fontId="0" fillId="0" borderId="0" xfId="1" applyNumberFormat="1" applyFont="1" applyBorder="1"/>
    <xf numFmtId="165" fontId="0" fillId="0" borderId="0" xfId="1" applyNumberFormat="1" applyFont="1" applyBorder="1"/>
    <xf numFmtId="166" fontId="0" fillId="0" borderId="0" xfId="1" applyNumberFormat="1" applyFont="1" applyBorder="1"/>
    <xf numFmtId="166" fontId="0" fillId="0" borderId="7" xfId="1" applyNumberFormat="1" applyFont="1" applyBorder="1"/>
    <xf numFmtId="165" fontId="15" fillId="0" borderId="0" xfId="1" applyNumberFormat="1" applyFont="1" applyBorder="1"/>
    <xf numFmtId="165" fontId="15" fillId="0" borderId="7" xfId="1" applyNumberFormat="1" applyFont="1" applyBorder="1"/>
    <xf numFmtId="166" fontId="15" fillId="0" borderId="0" xfId="1" applyNumberFormat="1" applyFont="1" applyBorder="1"/>
    <xf numFmtId="166" fontId="15" fillId="0" borderId="7" xfId="1" applyNumberFormat="1" applyFont="1" applyBorder="1"/>
    <xf numFmtId="9" fontId="0" fillId="0" borderId="0" xfId="2" applyFont="1" applyBorder="1"/>
    <xf numFmtId="9" fontId="0" fillId="0" borderId="7" xfId="2" applyFont="1" applyBorder="1"/>
    <xf numFmtId="41" fontId="28" fillId="0" borderId="0" xfId="1" applyNumberFormat="1" applyFont="1" applyBorder="1"/>
    <xf numFmtId="0" fontId="11" fillId="0" borderId="0" xfId="0" applyFont="1"/>
    <xf numFmtId="2" fontId="0" fillId="0" borderId="0" xfId="0" applyNumberFormat="1"/>
    <xf numFmtId="166" fontId="0" fillId="0" borderId="0" xfId="0" applyNumberFormat="1"/>
    <xf numFmtId="0" fontId="29" fillId="0" borderId="0" xfId="0" applyFont="1"/>
    <xf numFmtId="41" fontId="28" fillId="0" borderId="0" xfId="0" applyNumberFormat="1" applyFont="1"/>
    <xf numFmtId="41" fontId="28" fillId="0" borderId="7" xfId="0" applyNumberFormat="1" applyFont="1" applyBorder="1"/>
    <xf numFmtId="2" fontId="0" fillId="0" borderId="7" xfId="0" applyNumberFormat="1" applyBorder="1"/>
    <xf numFmtId="0" fontId="30" fillId="5" borderId="0" xfId="0" applyFont="1" applyFill="1" applyAlignment="1">
      <alignment horizontal="center"/>
    </xf>
    <xf numFmtId="164" fontId="30" fillId="6" borderId="3" xfId="1" applyNumberFormat="1" applyFont="1" applyFill="1" applyBorder="1"/>
    <xf numFmtId="164" fontId="30" fillId="6" borderId="4" xfId="1" applyNumberFormat="1" applyFont="1" applyFill="1" applyBorder="1"/>
    <xf numFmtId="164" fontId="30" fillId="6" borderId="11" xfId="1" applyNumberFormat="1" applyFont="1" applyFill="1" applyBorder="1"/>
    <xf numFmtId="43" fontId="0" fillId="0" borderId="0" xfId="1" applyFont="1"/>
    <xf numFmtId="167" fontId="0" fillId="0" borderId="0" xfId="1" applyNumberFormat="1" applyFont="1"/>
    <xf numFmtId="167" fontId="28" fillId="0" borderId="0" xfId="1" applyNumberFormat="1" applyFont="1"/>
    <xf numFmtId="167" fontId="0" fillId="0" borderId="8" xfId="1" applyNumberFormat="1" applyFont="1" applyBorder="1"/>
    <xf numFmtId="168" fontId="0" fillId="0" borderId="0" xfId="2" applyNumberFormat="1" applyFont="1"/>
    <xf numFmtId="0" fontId="31" fillId="0" borderId="0" xfId="0" applyFont="1"/>
    <xf numFmtId="41" fontId="29" fillId="0" borderId="0" xfId="0" applyNumberFormat="1" applyFont="1"/>
    <xf numFmtId="41" fontId="11" fillId="0" borderId="0" xfId="0" applyNumberFormat="1" applyFont="1"/>
    <xf numFmtId="0" fontId="10" fillId="0" borderId="0" xfId="0" applyFont="1"/>
    <xf numFmtId="41" fontId="29" fillId="0" borderId="8" xfId="0" applyNumberFormat="1" applyFont="1" applyBorder="1"/>
    <xf numFmtId="41" fontId="29" fillId="0" borderId="9" xfId="0" applyNumberFormat="1" applyFont="1" applyBorder="1"/>
    <xf numFmtId="167" fontId="0" fillId="0" borderId="0" xfId="2" applyNumberFormat="1" applyFont="1"/>
    <xf numFmtId="41" fontId="10" fillId="0" borderId="0" xfId="0" applyNumberFormat="1" applyFont="1"/>
    <xf numFmtId="0" fontId="9" fillId="0" borderId="0" xfId="0" applyFont="1"/>
    <xf numFmtId="41" fontId="32" fillId="0" borderId="0" xfId="0" applyNumberFormat="1" applyFont="1"/>
    <xf numFmtId="167" fontId="32" fillId="0" borderId="0" xfId="1" applyNumberFormat="1" applyFont="1" applyFill="1"/>
    <xf numFmtId="41" fontId="0" fillId="0" borderId="0" xfId="2" applyNumberFormat="1" applyFont="1"/>
    <xf numFmtId="0" fontId="8" fillId="0" borderId="0" xfId="0" applyFont="1"/>
    <xf numFmtId="167" fontId="0" fillId="0" borderId="0" xfId="0" applyNumberFormat="1"/>
    <xf numFmtId="0" fontId="7" fillId="0" borderId="0" xfId="0" applyFont="1"/>
    <xf numFmtId="0" fontId="29" fillId="0" borderId="8" xfId="0" applyFont="1" applyBorder="1"/>
    <xf numFmtId="167" fontId="29" fillId="0" borderId="8" xfId="1" applyNumberFormat="1" applyFont="1" applyBorder="1"/>
    <xf numFmtId="167" fontId="33" fillId="0" borderId="0" xfId="1" applyNumberFormat="1" applyFont="1"/>
    <xf numFmtId="10" fontId="0" fillId="0" borderId="0" xfId="2" applyNumberFormat="1" applyFont="1"/>
    <xf numFmtId="10" fontId="0" fillId="0" borderId="0" xfId="0" applyNumberFormat="1"/>
    <xf numFmtId="0" fontId="7" fillId="4" borderId="0" xfId="0" applyFont="1" applyFill="1" applyAlignment="1">
      <alignment horizontal="left" indent="2"/>
    </xf>
    <xf numFmtId="41" fontId="6" fillId="0" borderId="0" xfId="0" applyNumberFormat="1" applyFont="1"/>
    <xf numFmtId="0" fontId="5" fillId="0" borderId="0" xfId="0" applyFont="1"/>
    <xf numFmtId="168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9" fillId="0" borderId="0" xfId="0" applyFont="1" applyAlignment="1">
      <alignment horizontal="center"/>
    </xf>
    <xf numFmtId="2" fontId="0" fillId="0" borderId="0" xfId="1" applyNumberFormat="1" applyFont="1" applyAlignment="1">
      <alignment horizontal="center"/>
    </xf>
    <xf numFmtId="169" fontId="0" fillId="0" borderId="0" xfId="0" applyNumberFormat="1"/>
    <xf numFmtId="0" fontId="34" fillId="0" borderId="0" xfId="0" applyFont="1" applyAlignment="1">
      <alignment horizontal="right" vertical="center" wrapText="1"/>
    </xf>
    <xf numFmtId="170" fontId="0" fillId="0" borderId="0" xfId="0" applyNumberFormat="1"/>
    <xf numFmtId="171" fontId="0" fillId="0" borderId="0" xfId="0" applyNumberFormat="1"/>
    <xf numFmtId="0" fontId="34" fillId="7" borderId="0" xfId="0" applyFont="1" applyFill="1" applyAlignment="1">
      <alignment horizontal="right" vertical="center" wrapText="1"/>
    </xf>
    <xf numFmtId="0" fontId="34" fillId="8" borderId="0" xfId="0" applyFont="1" applyFill="1" applyAlignment="1">
      <alignment horizontal="right" vertical="center" wrapText="1"/>
    </xf>
    <xf numFmtId="174" fontId="0" fillId="0" borderId="0" xfId="0" applyNumberFormat="1"/>
    <xf numFmtId="0" fontId="3" fillId="0" borderId="0" xfId="0" applyFont="1"/>
    <xf numFmtId="14" fontId="0" fillId="0" borderId="0" xfId="0" applyNumberFormat="1"/>
    <xf numFmtId="0" fontId="2" fillId="0" borderId="0" xfId="0" applyFont="1"/>
    <xf numFmtId="10" fontId="0" fillId="0" borderId="0" xfId="2" applyNumberFormat="1" applyFont="1" applyBorder="1"/>
    <xf numFmtId="43" fontId="0" fillId="4" borderId="17" xfId="0" applyNumberFormat="1" applyFill="1" applyBorder="1"/>
    <xf numFmtId="0" fontId="0" fillId="0" borderId="19" xfId="0" applyBorder="1"/>
    <xf numFmtId="0" fontId="0" fillId="0" borderId="20" xfId="0" applyBorder="1"/>
    <xf numFmtId="167" fontId="0" fillId="0" borderId="0" xfId="1" applyNumberFormat="1" applyFont="1" applyBorder="1"/>
    <xf numFmtId="10" fontId="0" fillId="0" borderId="23" xfId="0" applyNumberFormat="1" applyBorder="1"/>
    <xf numFmtId="0" fontId="36" fillId="0" borderId="0" xfId="0" applyFont="1" applyAlignment="1">
      <alignment horizontal="center" vertical="center" wrapText="1"/>
    </xf>
    <xf numFmtId="10" fontId="36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6" fillId="0" borderId="0" xfId="0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43" fontId="0" fillId="9" borderId="0" xfId="0" applyNumberFormat="1" applyFill="1"/>
    <xf numFmtId="10" fontId="0" fillId="6" borderId="0" xfId="0" applyNumberFormat="1" applyFill="1"/>
    <xf numFmtId="10" fontId="0" fillId="0" borderId="14" xfId="2" applyNumberFormat="1" applyFont="1" applyBorder="1"/>
    <xf numFmtId="0" fontId="0" fillId="0" borderId="14" xfId="0" applyBorder="1" applyAlignment="1">
      <alignment vertical="center" wrapText="1"/>
    </xf>
    <xf numFmtId="0" fontId="36" fillId="6" borderId="0" xfId="0" applyFont="1" applyFill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10" fontId="14" fillId="0" borderId="0" xfId="0" applyNumberFormat="1" applyFont="1"/>
    <xf numFmtId="10" fontId="14" fillId="0" borderId="0" xfId="2" applyNumberFormat="1" applyFont="1"/>
    <xf numFmtId="167" fontId="14" fillId="0" borderId="0" xfId="1" applyNumberFormat="1" applyFont="1"/>
    <xf numFmtId="167" fontId="14" fillId="0" borderId="12" xfId="1" applyNumberFormat="1" applyFont="1" applyBorder="1"/>
    <xf numFmtId="43" fontId="14" fillId="0" borderId="0" xfId="0" applyNumberFormat="1" applyFont="1"/>
    <xf numFmtId="167" fontId="14" fillId="0" borderId="0" xfId="0" applyNumberFormat="1" applyFont="1" applyAlignment="1">
      <alignment horizontal="center"/>
    </xf>
    <xf numFmtId="0" fontId="0" fillId="10" borderId="0" xfId="0" applyFill="1"/>
    <xf numFmtId="10" fontId="0" fillId="10" borderId="0" xfId="0" applyNumberFormat="1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29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0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43" fontId="0" fillId="0" borderId="0" xfId="0" applyNumberFormat="1" applyAlignment="1">
      <alignment horizontal="center"/>
    </xf>
    <xf numFmtId="0" fontId="14" fillId="0" borderId="0" xfId="0" applyFont="1" applyAlignment="1">
      <alignment horizontal="center"/>
    </xf>
    <xf numFmtId="10" fontId="14" fillId="0" borderId="0" xfId="2" applyNumberFormat="1" applyFont="1" applyAlignment="1">
      <alignment horizontal="center"/>
    </xf>
    <xf numFmtId="0" fontId="29" fillId="0" borderId="1" xfId="0" applyFont="1" applyBorder="1" applyAlignment="1">
      <alignment horizontal="center"/>
    </xf>
    <xf numFmtId="0" fontId="0" fillId="0" borderId="2" xfId="0" applyBorder="1"/>
    <xf numFmtId="0" fontId="29" fillId="0" borderId="2" xfId="0" applyFont="1" applyBorder="1"/>
    <xf numFmtId="0" fontId="29" fillId="0" borderId="10" xfId="0" applyFont="1" applyBorder="1"/>
    <xf numFmtId="0" fontId="31" fillId="0" borderId="24" xfId="0" applyFont="1" applyBorder="1" applyAlignment="1">
      <alignment horizontal="center"/>
    </xf>
    <xf numFmtId="0" fontId="0" fillId="0" borderId="14" xfId="0" applyBorder="1"/>
    <xf numFmtId="0" fontId="4" fillId="0" borderId="24" xfId="0" applyFont="1" applyBorder="1" applyAlignment="1">
      <alignment horizontal="center"/>
    </xf>
    <xf numFmtId="174" fontId="0" fillId="0" borderId="0" xfId="1" applyNumberFormat="1" applyFont="1" applyBorder="1"/>
    <xf numFmtId="43" fontId="0" fillId="0" borderId="14" xfId="1" applyFont="1" applyBorder="1" applyAlignment="1"/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0" fillId="0" borderId="15" xfId="0" applyBorder="1"/>
    <xf numFmtId="0" fontId="31" fillId="0" borderId="26" xfId="0" applyFont="1" applyBorder="1" applyAlignment="1">
      <alignment horizontal="center"/>
    </xf>
    <xf numFmtId="0" fontId="0" fillId="0" borderId="27" xfId="0" applyBorder="1"/>
    <xf numFmtId="0" fontId="29" fillId="0" borderId="4" xfId="0" applyFont="1" applyBorder="1"/>
    <xf numFmtId="43" fontId="29" fillId="0" borderId="11" xfId="0" applyNumberFormat="1" applyFont="1" applyBorder="1"/>
    <xf numFmtId="0" fontId="0" fillId="0" borderId="1" xfId="0" applyBorder="1"/>
    <xf numFmtId="0" fontId="0" fillId="0" borderId="10" xfId="0" applyBorder="1"/>
    <xf numFmtId="0" fontId="0" fillId="0" borderId="24" xfId="0" applyBorder="1"/>
    <xf numFmtId="43" fontId="29" fillId="0" borderId="0" xfId="1" applyFont="1" applyBorder="1" applyAlignment="1">
      <alignment vertical="top"/>
    </xf>
    <xf numFmtId="43" fontId="29" fillId="0" borderId="0" xfId="1" applyFont="1" applyBorder="1" applyAlignment="1">
      <alignment vertical="center"/>
    </xf>
    <xf numFmtId="0" fontId="35" fillId="7" borderId="24" xfId="0" applyFont="1" applyFill="1" applyBorder="1" applyAlignment="1">
      <alignment horizontal="left" vertical="center" wrapText="1"/>
    </xf>
    <xf numFmtId="173" fontId="35" fillId="0" borderId="24" xfId="0" applyNumberFormat="1" applyFont="1" applyBorder="1" applyAlignment="1">
      <alignment horizontal="left" vertical="center"/>
    </xf>
    <xf numFmtId="174" fontId="34" fillId="0" borderId="0" xfId="1" applyNumberFormat="1" applyFont="1" applyBorder="1" applyAlignment="1">
      <alignment horizontal="right" vertical="center" wrapText="1"/>
    </xf>
    <xf numFmtId="172" fontId="35" fillId="0" borderId="24" xfId="0" applyNumberFormat="1" applyFont="1" applyBorder="1" applyAlignment="1">
      <alignment horizontal="left" vertical="center"/>
    </xf>
    <xf numFmtId="168" fontId="0" fillId="0" borderId="0" xfId="2" applyNumberFormat="1" applyFont="1" applyBorder="1"/>
    <xf numFmtId="172" fontId="35" fillId="0" borderId="25" xfId="0" applyNumberFormat="1" applyFont="1" applyBorder="1" applyAlignment="1">
      <alignment horizontal="left" vertical="center"/>
    </xf>
    <xf numFmtId="174" fontId="34" fillId="0" borderId="15" xfId="1" applyNumberFormat="1" applyFont="1" applyBorder="1" applyAlignment="1">
      <alignment horizontal="right" vertical="center" wrapText="1"/>
    </xf>
    <xf numFmtId="168" fontId="0" fillId="0" borderId="15" xfId="2" applyNumberFormat="1" applyFont="1" applyBorder="1"/>
    <xf numFmtId="0" fontId="34" fillId="7" borderId="15" xfId="0" applyFont="1" applyFill="1" applyBorder="1" applyAlignment="1">
      <alignment horizontal="right" vertical="center" wrapText="1"/>
    </xf>
    <xf numFmtId="0" fontId="34" fillId="0" borderId="15" xfId="0" applyFont="1" applyBorder="1" applyAlignment="1">
      <alignment horizontal="right" vertical="center" wrapText="1"/>
    </xf>
    <xf numFmtId="0" fontId="0" fillId="0" borderId="16" xfId="0" applyBorder="1"/>
    <xf numFmtId="0" fontId="35" fillId="7" borderId="29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0" fillId="0" borderId="30" xfId="0" applyBorder="1"/>
    <xf numFmtId="43" fontId="29" fillId="0" borderId="7" xfId="1" applyFont="1" applyBorder="1" applyAlignment="1">
      <alignment vertical="top"/>
    </xf>
    <xf numFmtId="43" fontId="29" fillId="0" borderId="7" xfId="1" applyFont="1" applyBorder="1" applyAlignment="1">
      <alignment vertical="center"/>
    </xf>
    <xf numFmtId="0" fontId="29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8" fontId="0" fillId="0" borderId="7" xfId="2" applyNumberFormat="1" applyFont="1" applyBorder="1"/>
    <xf numFmtId="168" fontId="0" fillId="0" borderId="31" xfId="2" applyNumberFormat="1" applyFont="1" applyBorder="1"/>
    <xf numFmtId="0" fontId="29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0" fillId="0" borderId="33" xfId="0" applyBorder="1"/>
    <xf numFmtId="0" fontId="34" fillId="7" borderId="33" xfId="0" applyFont="1" applyFill="1" applyBorder="1" applyAlignment="1">
      <alignment horizontal="right" vertical="center" wrapText="1"/>
    </xf>
    <xf numFmtId="0" fontId="34" fillId="7" borderId="23" xfId="0" applyFont="1" applyFill="1" applyBorder="1" applyAlignment="1">
      <alignment horizontal="right" vertical="center" wrapText="1"/>
    </xf>
    <xf numFmtId="0" fontId="5" fillId="0" borderId="34" xfId="0" applyFont="1" applyBorder="1"/>
    <xf numFmtId="0" fontId="5" fillId="0" borderId="9" xfId="0" applyFont="1" applyBorder="1"/>
    <xf numFmtId="43" fontId="29" fillId="0" borderId="33" xfId="1" applyFont="1" applyBorder="1" applyAlignment="1">
      <alignment vertical="center"/>
    </xf>
    <xf numFmtId="0" fontId="29" fillId="0" borderId="35" xfId="0" applyFont="1" applyBorder="1" applyAlignment="1">
      <alignment horizontal="center"/>
    </xf>
    <xf numFmtId="0" fontId="29" fillId="0" borderId="36" xfId="0" applyFont="1" applyBorder="1" applyAlignment="1">
      <alignment horizontal="center"/>
    </xf>
    <xf numFmtId="43" fontId="29" fillId="0" borderId="33" xfId="1" applyFont="1" applyBorder="1" applyAlignment="1"/>
    <xf numFmtId="43" fontId="29" fillId="0" borderId="7" xfId="1" applyFont="1" applyBorder="1" applyAlignment="1"/>
    <xf numFmtId="43" fontId="29" fillId="0" borderId="33" xfId="1" applyFont="1" applyBorder="1" applyAlignment="1">
      <alignment horizontal="center" vertical="center"/>
    </xf>
    <xf numFmtId="43" fontId="29" fillId="0" borderId="7" xfId="1" applyFont="1" applyBorder="1" applyAlignment="1">
      <alignment horizontal="center" vertical="center"/>
    </xf>
    <xf numFmtId="43" fontId="29" fillId="0" borderId="0" xfId="1" applyFont="1" applyBorder="1" applyAlignment="1"/>
    <xf numFmtId="170" fontId="0" fillId="10" borderId="0" xfId="0" applyNumberFormat="1" applyFill="1"/>
    <xf numFmtId="164" fontId="12" fillId="0" borderId="6" xfId="1" applyNumberFormat="1" applyFont="1" applyFill="1" applyBorder="1" applyAlignment="1">
      <alignment horizontal="right" vertical="center"/>
    </xf>
    <xf numFmtId="167" fontId="0" fillId="0" borderId="7" xfId="1" applyNumberFormat="1" applyFont="1" applyBorder="1" applyAlignment="1">
      <alignment horizontal="right" vertical="center"/>
    </xf>
    <xf numFmtId="168" fontId="0" fillId="0" borderId="7" xfId="0" applyNumberFormat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3" fontId="0" fillId="0" borderId="7" xfId="0" applyNumberFormat="1" applyBorder="1" applyAlignment="1">
      <alignment horizontal="right" vertical="center"/>
    </xf>
    <xf numFmtId="168" fontId="0" fillId="0" borderId="7" xfId="2" applyNumberFormat="1" applyFont="1" applyBorder="1" applyAlignment="1">
      <alignment horizontal="right" vertical="center"/>
    </xf>
    <xf numFmtId="10" fontId="0" fillId="0" borderId="7" xfId="0" applyNumberFormat="1" applyBorder="1" applyAlignment="1">
      <alignment horizontal="right" vertical="center"/>
    </xf>
    <xf numFmtId="9" fontId="0" fillId="0" borderId="7" xfId="0" applyNumberFormat="1" applyBorder="1" applyAlignment="1">
      <alignment horizontal="right" vertical="center"/>
    </xf>
    <xf numFmtId="41" fontId="18" fillId="0" borderId="7" xfId="1" applyNumberFormat="1" applyFont="1" applyBorder="1"/>
    <xf numFmtId="41" fontId="0" fillId="0" borderId="13" xfId="1" applyNumberFormat="1" applyFont="1" applyBorder="1"/>
    <xf numFmtId="167" fontId="0" fillId="0" borderId="7" xfId="2" applyNumberFormat="1" applyFont="1" applyBorder="1"/>
    <xf numFmtId="41" fontId="0" fillId="4" borderId="0" xfId="1" applyNumberFormat="1" applyFont="1" applyFill="1"/>
    <xf numFmtId="41" fontId="0" fillId="4" borderId="7" xfId="1" applyNumberFormat="1" applyFont="1" applyFill="1" applyBorder="1"/>
    <xf numFmtId="0" fontId="0" fillId="0" borderId="37" xfId="0" applyBorder="1"/>
    <xf numFmtId="9" fontId="0" fillId="0" borderId="37" xfId="2" applyFont="1" applyBorder="1"/>
    <xf numFmtId="9" fontId="0" fillId="0" borderId="36" xfId="2" applyFont="1" applyBorder="1"/>
    <xf numFmtId="0" fontId="0" fillId="11" borderId="0" xfId="0" applyFill="1"/>
    <xf numFmtId="41" fontId="32" fillId="0" borderId="7" xfId="0" applyNumberFormat="1" applyFont="1" applyBorder="1"/>
    <xf numFmtId="41" fontId="29" fillId="0" borderId="7" xfId="0" applyNumberFormat="1" applyFont="1" applyBorder="1"/>
    <xf numFmtId="167" fontId="32" fillId="0" borderId="7" xfId="1" applyNumberFormat="1" applyFont="1" applyFill="1" applyBorder="1"/>
    <xf numFmtId="41" fontId="6" fillId="0" borderId="7" xfId="0" applyNumberFormat="1" applyFont="1" applyBorder="1"/>
    <xf numFmtId="0" fontId="8" fillId="11" borderId="0" xfId="0" applyFont="1" applyFill="1"/>
    <xf numFmtId="167" fontId="0" fillId="11" borderId="0" xfId="0" applyNumberFormat="1" applyFill="1"/>
    <xf numFmtId="0" fontId="16" fillId="0" borderId="7" xfId="0" applyFont="1" applyBorder="1"/>
    <xf numFmtId="0" fontId="0" fillId="0" borderId="6" xfId="0" applyBorder="1"/>
    <xf numFmtId="41" fontId="16" fillId="0" borderId="7" xfId="0" applyNumberFormat="1" applyFont="1" applyBorder="1"/>
    <xf numFmtId="41" fontId="11" fillId="0" borderId="7" xfId="0" applyNumberFormat="1" applyFont="1" applyBorder="1"/>
    <xf numFmtId="167" fontId="0" fillId="0" borderId="7" xfId="1" applyNumberFormat="1" applyFont="1" applyBorder="1"/>
    <xf numFmtId="0" fontId="0" fillId="0" borderId="9" xfId="0" applyBorder="1"/>
    <xf numFmtId="167" fontId="29" fillId="0" borderId="8" xfId="0" applyNumberFormat="1" applyFont="1" applyBorder="1"/>
    <xf numFmtId="167" fontId="29" fillId="0" borderId="9" xfId="0" applyNumberFormat="1" applyFont="1" applyBorder="1"/>
    <xf numFmtId="167" fontId="0" fillId="0" borderId="6" xfId="1" applyNumberFormat="1" applyFont="1" applyBorder="1"/>
    <xf numFmtId="167" fontId="28" fillId="0" borderId="7" xfId="1" applyNumberFormat="1" applyFont="1" applyBorder="1"/>
    <xf numFmtId="167" fontId="29" fillId="0" borderId="9" xfId="1" applyNumberFormat="1" applyFont="1" applyBorder="1"/>
    <xf numFmtId="43" fontId="0" fillId="0" borderId="7" xfId="1" applyFont="1" applyBorder="1"/>
    <xf numFmtId="167" fontId="0" fillId="0" borderId="9" xfId="1" applyNumberFormat="1" applyFont="1" applyBorder="1"/>
    <xf numFmtId="0" fontId="11" fillId="0" borderId="7" xfId="0" applyFont="1" applyBorder="1"/>
    <xf numFmtId="0" fontId="29" fillId="0" borderId="9" xfId="0" applyFont="1" applyBorder="1"/>
    <xf numFmtId="167" fontId="0" fillId="11" borderId="0" xfId="1" applyNumberFormat="1" applyFont="1" applyFill="1"/>
    <xf numFmtId="0" fontId="29" fillId="0" borderId="7" xfId="0" applyFont="1" applyBorder="1"/>
    <xf numFmtId="0" fontId="31" fillId="0" borderId="7" xfId="0" applyFont="1" applyBorder="1"/>
    <xf numFmtId="0" fontId="7" fillId="0" borderId="7" xfId="0" applyFont="1" applyBorder="1"/>
    <xf numFmtId="0" fontId="29" fillId="0" borderId="34" xfId="0" applyFont="1" applyBorder="1"/>
    <xf numFmtId="0" fontId="0" fillId="0" borderId="34" xfId="0" applyBorder="1"/>
    <xf numFmtId="41" fontId="0" fillId="0" borderId="13" xfId="0" applyNumberFormat="1" applyBorder="1"/>
    <xf numFmtId="41" fontId="0" fillId="11" borderId="0" xfId="0" applyNumberFormat="1" applyFill="1"/>
    <xf numFmtId="9" fontId="0" fillId="0" borderId="7" xfId="0" applyNumberFormat="1" applyBorder="1"/>
    <xf numFmtId="166" fontId="0" fillId="0" borderId="7" xfId="0" applyNumberFormat="1" applyBorder="1"/>
    <xf numFmtId="41" fontId="0" fillId="0" borderId="12" xfId="0" applyNumberFormat="1" applyBorder="1"/>
    <xf numFmtId="41" fontId="14" fillId="0" borderId="6" xfId="0" applyNumberFormat="1" applyFont="1" applyBorder="1"/>
    <xf numFmtId="167" fontId="0" fillId="0" borderId="7" xfId="0" applyNumberFormat="1" applyBorder="1"/>
    <xf numFmtId="0" fontId="14" fillId="0" borderId="7" xfId="0" applyFont="1" applyBorder="1"/>
    <xf numFmtId="0" fontId="5" fillId="0" borderId="7" xfId="0" applyFont="1" applyBorder="1"/>
    <xf numFmtId="0" fontId="1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30" fillId="5" borderId="7" xfId="0" applyFont="1" applyFill="1" applyBorder="1" applyAlignment="1">
      <alignment horizontal="center"/>
    </xf>
    <xf numFmtId="0" fontId="30" fillId="6" borderId="1" xfId="0" applyFont="1" applyFill="1" applyBorder="1" applyAlignment="1">
      <alignment horizontal="center"/>
    </xf>
    <xf numFmtId="0" fontId="30" fillId="6" borderId="2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1" fillId="0" borderId="18" xfId="0" applyFont="1" applyBorder="1" applyAlignment="1">
      <alignment horizontal="center" textRotation="255"/>
    </xf>
    <xf numFmtId="0" fontId="14" fillId="0" borderId="21" xfId="0" applyFont="1" applyBorder="1" applyAlignment="1">
      <alignment horizontal="center"/>
    </xf>
    <xf numFmtId="0" fontId="14" fillId="0" borderId="2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9" fillId="0" borderId="6" xfId="0" applyFont="1" applyBorder="1" applyAlignment="1">
      <alignment horizontal="center"/>
    </xf>
    <xf numFmtId="0" fontId="30" fillId="5" borderId="0" xfId="0" applyFont="1" applyFill="1" applyAlignment="1">
      <alignment horizontal="center"/>
    </xf>
    <xf numFmtId="0" fontId="29" fillId="0" borderId="32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22" fillId="3" borderId="10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41" fontId="14" fillId="0" borderId="0" xfId="1" applyNumberFormat="1" applyFont="1" applyBorder="1" applyAlignment="1">
      <alignment horizontal="center"/>
    </xf>
    <xf numFmtId="41" fontId="1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7"/>
  <sheetViews>
    <sheetView showGridLines="0" tabSelected="1" topLeftCell="A4" workbookViewId="0">
      <selection activeCell="J9" sqref="J9"/>
    </sheetView>
  </sheetViews>
  <sheetFormatPr defaultColWidth="9" defaultRowHeight="15"/>
  <cols>
    <col min="1" max="1" width="36.7109375" customWidth="1"/>
    <col min="2" max="3" width="11.28515625" customWidth="1"/>
    <col min="4" max="4" width="14.7109375" customWidth="1"/>
    <col min="5" max="5" width="12.85546875" customWidth="1"/>
    <col min="6" max="6" width="13.42578125" customWidth="1"/>
    <col min="7" max="7" width="13.28515625" customWidth="1"/>
    <col min="8" max="8" width="14.28515625" customWidth="1"/>
    <col min="9" max="9" width="9" customWidth="1"/>
    <col min="10" max="10" width="10.85546875" customWidth="1"/>
    <col min="11" max="11" width="11.85546875" bestFit="1" customWidth="1"/>
    <col min="12" max="12" width="10" customWidth="1"/>
    <col min="13" max="13" width="9.7109375" customWidth="1"/>
    <col min="14" max="14" width="11" customWidth="1"/>
  </cols>
  <sheetData>
    <row r="1" spans="1:8" ht="15.75" thickBot="1">
      <c r="D1">
        <v>1</v>
      </c>
      <c r="E1">
        <v>2</v>
      </c>
      <c r="F1">
        <v>3</v>
      </c>
      <c r="G1">
        <v>4</v>
      </c>
      <c r="H1">
        <v>5</v>
      </c>
    </row>
    <row r="2" spans="1:8">
      <c r="A2" s="309" t="s">
        <v>0</v>
      </c>
      <c r="B2" s="107"/>
      <c r="C2" s="107"/>
      <c r="D2" s="310" t="s">
        <v>2</v>
      </c>
      <c r="E2" s="311"/>
      <c r="F2" s="311"/>
      <c r="G2" s="311"/>
      <c r="H2" s="312"/>
    </row>
    <row r="3" spans="1:8" ht="15.75" thickBot="1">
      <c r="A3" s="309"/>
      <c r="B3" s="107" t="s">
        <v>3</v>
      </c>
      <c r="C3" s="107"/>
      <c r="D3" s="108">
        <v>2025</v>
      </c>
      <c r="E3" s="109">
        <f>D3+1</f>
        <v>2026</v>
      </c>
      <c r="F3" s="109">
        <f t="shared" ref="F3:H3" si="0">E3+1</f>
        <v>2027</v>
      </c>
      <c r="G3" s="109">
        <f t="shared" si="0"/>
        <v>2028</v>
      </c>
      <c r="H3" s="110">
        <f t="shared" si="0"/>
        <v>2029</v>
      </c>
    </row>
    <row r="4" spans="1:8">
      <c r="A4" s="300" t="s">
        <v>164</v>
      </c>
      <c r="B4" s="302" t="s">
        <v>129</v>
      </c>
      <c r="D4" s="27">
        <f>'P&amp;L'!G26</f>
        <v>3867.2138608086298</v>
      </c>
      <c r="E4" s="27">
        <f>'P&amp;L'!H26</f>
        <v>4196.424948338532</v>
      </c>
      <c r="F4" s="27">
        <f>'P&amp;L'!I26</f>
        <v>4570.0912923707601</v>
      </c>
      <c r="G4" s="27">
        <f>'P&amp;L'!J26</f>
        <v>4995.7706742414011</v>
      </c>
      <c r="H4" s="298">
        <f>'P&amp;L'!K26</f>
        <v>5484.5687166655262</v>
      </c>
    </row>
    <row r="5" spans="1:8">
      <c r="A5" s="16" t="s">
        <v>165</v>
      </c>
      <c r="D5" s="139">
        <f>'P&amp;L'!G73</f>
        <v>0.23233940953188501</v>
      </c>
      <c r="E5" s="115">
        <f>(D5+($H$5-$D$5)/4)</f>
        <v>0.24175455714891375</v>
      </c>
      <c r="F5" s="115">
        <f t="shared" ref="F5:G5" si="1">(E5+($H$5-$D$5)/4)</f>
        <v>0.25116970476594253</v>
      </c>
      <c r="G5" s="115">
        <f t="shared" si="1"/>
        <v>0.2605848523829713</v>
      </c>
      <c r="H5" s="231">
        <v>0.27</v>
      </c>
    </row>
    <row r="6" spans="1:8">
      <c r="A6" s="16" t="s">
        <v>166</v>
      </c>
      <c r="D6" s="129">
        <f>D4*D5</f>
        <v>898.50618495379831</v>
      </c>
      <c r="E6" s="129">
        <f t="shared" ref="E6:H6" si="2">E4*E5</f>
        <v>1014.5048549942351</v>
      </c>
      <c r="F6" s="129">
        <f t="shared" si="2"/>
        <v>1147.8684806581684</v>
      </c>
      <c r="G6" s="129">
        <f t="shared" si="2"/>
        <v>1301.8221636863725</v>
      </c>
      <c r="H6" s="299">
        <f t="shared" si="2"/>
        <v>1480.8335534996922</v>
      </c>
    </row>
    <row r="7" spans="1:8">
      <c r="A7" s="288" t="s">
        <v>167</v>
      </c>
      <c r="D7" s="117">
        <f>D4-D6</f>
        <v>2968.7076758548315</v>
      </c>
      <c r="E7" s="117">
        <f t="shared" ref="E7:H7" si="3">E4-E6</f>
        <v>3181.9200933442971</v>
      </c>
      <c r="F7" s="117">
        <f t="shared" si="3"/>
        <v>3422.2228117125915</v>
      </c>
      <c r="G7" s="117">
        <f t="shared" si="3"/>
        <v>3693.9485105550284</v>
      </c>
      <c r="H7" s="267">
        <f t="shared" si="3"/>
        <v>4003.7351631658339</v>
      </c>
    </row>
    <row r="8" spans="1:8">
      <c r="A8" s="301" t="s">
        <v>168</v>
      </c>
      <c r="D8" s="7">
        <f>'P&amp;L'!G76</f>
        <v>608.19946895024066</v>
      </c>
      <c r="E8" s="7">
        <f>'P&amp;L'!H76</f>
        <v>622.28737364964309</v>
      </c>
      <c r="F8" s="7">
        <f>'P&amp;L'!I76</f>
        <v>640.44046486312811</v>
      </c>
      <c r="G8" s="7">
        <f>'P&amp;L'!J76</f>
        <v>662.96098567239312</v>
      </c>
      <c r="H8" s="10">
        <f>'P&amp;L'!K76</f>
        <v>690.49351908054314</v>
      </c>
    </row>
    <row r="9" spans="1:8">
      <c r="A9" s="301" t="s">
        <v>169</v>
      </c>
      <c r="D9" s="7">
        <f>SUM(CFS!C11:C16)</f>
        <v>187.95243438112391</v>
      </c>
      <c r="E9" s="7">
        <f>SUM(CFS!D11:D16)</f>
        <v>173.4259359468291</v>
      </c>
      <c r="F9" s="7">
        <f>SUM(CFS!E11:E16)</f>
        <v>197.71663491357043</v>
      </c>
      <c r="G9" s="7">
        <f>SUM(CFS!F11:F16)</f>
        <v>228.61676838122281</v>
      </c>
      <c r="H9" s="10">
        <f>SUM(CFS!G11:G16)</f>
        <v>266.29997874034279</v>
      </c>
    </row>
    <row r="10" spans="1:8">
      <c r="A10" s="301" t="s">
        <v>170</v>
      </c>
      <c r="D10" s="7">
        <f>CFS!C20</f>
        <v>-194.88683407374992</v>
      </c>
      <c r="E10" s="7">
        <f>CFS!D20</f>
        <v>-269.18530356763767</v>
      </c>
      <c r="F10" s="7">
        <f>CFS!E20</f>
        <v>-346.86104663955302</v>
      </c>
      <c r="G10" s="7">
        <f>CFS!F20</f>
        <v>-430.31191365174891</v>
      </c>
      <c r="H10" s="10">
        <f>CFS!G20</f>
        <v>-526.07918080063064</v>
      </c>
    </row>
    <row r="11" spans="1:8">
      <c r="A11" s="286" t="s">
        <v>171</v>
      </c>
      <c r="B11" s="12"/>
      <c r="C11" s="12"/>
      <c r="D11" s="120">
        <f>SUM(D7:D10)</f>
        <v>3569.9727451124463</v>
      </c>
      <c r="E11" s="120">
        <f t="shared" ref="E11:H11" si="4">SUM(E7:E10)</f>
        <v>3708.4480993731318</v>
      </c>
      <c r="F11" s="120">
        <f t="shared" si="4"/>
        <v>3913.5188648497369</v>
      </c>
      <c r="G11" s="120">
        <f t="shared" si="4"/>
        <v>4155.214350956895</v>
      </c>
      <c r="H11" s="121">
        <f t="shared" si="4"/>
        <v>4434.4494801860892</v>
      </c>
    </row>
    <row r="12" spans="1:8">
      <c r="E12" s="115"/>
      <c r="F12" s="115"/>
      <c r="G12" s="115"/>
      <c r="H12" s="115"/>
    </row>
    <row r="14" spans="1:8">
      <c r="A14" s="6" t="s">
        <v>172</v>
      </c>
      <c r="B14" s="6"/>
      <c r="C14" s="6"/>
      <c r="D14" s="6"/>
      <c r="E14" s="6"/>
      <c r="F14" s="6"/>
      <c r="G14" s="6"/>
      <c r="H14" s="178">
        <f>H11*(1+C18)/(C19-C18)</f>
        <v>150992.37870395073</v>
      </c>
    </row>
    <row r="15" spans="1:8">
      <c r="A15" s="138" t="s">
        <v>173</v>
      </c>
      <c r="D15" s="7">
        <f>D11+D14</f>
        <v>3569.9727451124463</v>
      </c>
      <c r="E15" s="7">
        <f t="shared" ref="E15:H15" si="5">E11+E14</f>
        <v>3708.4480993731318</v>
      </c>
      <c r="F15" s="7">
        <f t="shared" si="5"/>
        <v>3913.5188648497369</v>
      </c>
      <c r="G15" s="7">
        <f t="shared" si="5"/>
        <v>4155.214350956895</v>
      </c>
      <c r="H15" s="7">
        <f t="shared" si="5"/>
        <v>155426.82818413683</v>
      </c>
    </row>
    <row r="16" spans="1:8">
      <c r="A16" s="138" t="s">
        <v>174</v>
      </c>
      <c r="D16" s="129">
        <f>D15/(1+$C$19)^D1</f>
        <v>3399.7829809243881</v>
      </c>
      <c r="E16" s="129">
        <f t="shared" ref="E16:G16" si="6">E15/(1+$C$19)^E1</f>
        <v>3363.2937120314473</v>
      </c>
      <c r="F16" s="129">
        <f t="shared" si="6"/>
        <v>3380.0748425658207</v>
      </c>
      <c r="G16" s="129">
        <f t="shared" si="6"/>
        <v>3417.7367810042683</v>
      </c>
      <c r="H16" s="129">
        <f>H15/(1+$C$19)^H1</f>
        <v>121746.77319690915</v>
      </c>
    </row>
    <row r="17" spans="1:15">
      <c r="A17" s="138"/>
    </row>
    <row r="18" spans="1:15">
      <c r="A18" s="6" t="s">
        <v>431</v>
      </c>
      <c r="C18" s="173">
        <v>2.01E-2</v>
      </c>
    </row>
    <row r="19" spans="1:15">
      <c r="A19" s="6" t="s">
        <v>430</v>
      </c>
      <c r="C19" s="174">
        <f>('Cost of Capital'!B17*'Cost of Capital'!E21/'Cost of Capital'!H21)+('Cost of Debt'!B14*'Cost of Capital'!G21/'Cost of Capital'!H21)</f>
        <v>5.0059008219925934E-2</v>
      </c>
    </row>
    <row r="20" spans="1:15" ht="15.75" thickBot="1"/>
    <row r="21" spans="1:15">
      <c r="G21" s="155"/>
      <c r="H21" s="157"/>
      <c r="I21" s="314" t="s">
        <v>430</v>
      </c>
      <c r="J21" s="314"/>
      <c r="K21" s="314"/>
      <c r="L21" s="314"/>
      <c r="M21" s="314"/>
      <c r="N21" s="314"/>
      <c r="O21" s="315"/>
    </row>
    <row r="22" spans="1:15">
      <c r="A22" s="6" t="s">
        <v>175</v>
      </c>
      <c r="C22" s="175">
        <f>SUM(D16:H16)</f>
        <v>135307.66151343507</v>
      </c>
      <c r="G22" s="313" t="s">
        <v>438</v>
      </c>
      <c r="H22" s="166">
        <f>$C$28</f>
        <v>156.04307764022724</v>
      </c>
      <c r="I22" s="135">
        <f t="shared" ref="I22:J22" si="7">J22-0.5%</f>
        <v>3.5059008219925941E-2</v>
      </c>
      <c r="J22" s="135">
        <f t="shared" si="7"/>
        <v>4.0059008219925939E-2</v>
      </c>
      <c r="K22" s="135">
        <f>L22-0.5%</f>
        <v>4.5059008219925936E-2</v>
      </c>
      <c r="L22" s="167">
        <f>C19</f>
        <v>5.0059008219925934E-2</v>
      </c>
      <c r="M22" s="154">
        <f>L22+0.5%</f>
        <v>5.5059008219925931E-2</v>
      </c>
      <c r="N22" s="154">
        <f t="shared" ref="N22:O22" si="8">M22+0.5%</f>
        <v>6.0059008219925929E-2</v>
      </c>
      <c r="O22" s="168">
        <f t="shared" si="8"/>
        <v>6.5059008219925926E-2</v>
      </c>
    </row>
    <row r="23" spans="1:15">
      <c r="A23" s="153" t="s">
        <v>432</v>
      </c>
      <c r="C23" s="111">
        <f>SUM('Balance Sheet'!F18,'Balance Sheet'!F19,'Balance Sheet'!F24)</f>
        <v>7949</v>
      </c>
      <c r="G23" s="313"/>
      <c r="H23" s="135">
        <f t="shared" ref="H23:H24" si="9">H24-0.2%</f>
        <v>1.4099999999999996E-2</v>
      </c>
      <c r="I23" s="163">
        <v>342.47</v>
      </c>
      <c r="J23" s="163">
        <v>250.87</v>
      </c>
      <c r="K23" s="163">
        <v>193.31</v>
      </c>
      <c r="L23" s="163">
        <v>155.94999999999999</v>
      </c>
      <c r="M23" s="163">
        <v>139.88</v>
      </c>
      <c r="N23" s="163">
        <v>123.41</v>
      </c>
      <c r="O23" s="169">
        <v>110.13</v>
      </c>
    </row>
    <row r="24" spans="1:15">
      <c r="A24" s="153" t="s">
        <v>433</v>
      </c>
      <c r="C24" s="111">
        <f>'Balance Sheet'!F5</f>
        <v>1096</v>
      </c>
      <c r="G24" s="313"/>
      <c r="H24" s="135">
        <f t="shared" si="9"/>
        <v>1.6099999999999996E-2</v>
      </c>
      <c r="I24" s="163">
        <v>336.06</v>
      </c>
      <c r="J24" s="163">
        <v>247.05</v>
      </c>
      <c r="K24" s="163">
        <v>190.11</v>
      </c>
      <c r="L24" s="165">
        <v>156</v>
      </c>
      <c r="M24" s="163">
        <v>138.12</v>
      </c>
      <c r="N24" s="163">
        <v>121.38</v>
      </c>
      <c r="O24" s="169">
        <v>107.36</v>
      </c>
    </row>
    <row r="25" spans="1:15">
      <c r="A25" s="153" t="s">
        <v>434</v>
      </c>
      <c r="C25" s="111">
        <v>0</v>
      </c>
      <c r="G25" s="313"/>
      <c r="H25" s="135">
        <f>H26-0.2%</f>
        <v>1.8099999999999998E-2</v>
      </c>
      <c r="I25" s="163">
        <v>329.03</v>
      </c>
      <c r="J25" s="163">
        <v>243.17</v>
      </c>
      <c r="K25" s="163">
        <v>186.97</v>
      </c>
      <c r="L25" s="165">
        <v>156</v>
      </c>
      <c r="M25" s="163">
        <v>136.55000000000001</v>
      </c>
      <c r="N25" s="163">
        <v>119.64</v>
      </c>
      <c r="O25" s="169">
        <v>105.64</v>
      </c>
    </row>
    <row r="26" spans="1:15">
      <c r="A26" s="50" t="s">
        <v>435</v>
      </c>
      <c r="B26" s="51"/>
      <c r="C26" s="176">
        <f>C22-C23+C24+C25</f>
        <v>128454.66151343507</v>
      </c>
      <c r="G26" s="313"/>
      <c r="H26" s="167">
        <f>C18</f>
        <v>2.01E-2</v>
      </c>
      <c r="I26" s="163">
        <v>322.39</v>
      </c>
      <c r="J26" s="163">
        <v>239.22</v>
      </c>
      <c r="K26" s="163">
        <v>183.91</v>
      </c>
      <c r="L26" s="170">
        <v>155.94999999999999</v>
      </c>
      <c r="M26" s="163">
        <v>134.69999999999999</v>
      </c>
      <c r="N26" s="163">
        <v>118.39</v>
      </c>
      <c r="O26" s="169">
        <v>104.09</v>
      </c>
    </row>
    <row r="27" spans="1:15">
      <c r="A27" s="153" t="s">
        <v>436</v>
      </c>
      <c r="C27">
        <f>'P&amp;L'!F60</f>
        <v>823.2</v>
      </c>
      <c r="G27" s="313"/>
      <c r="H27" s="135">
        <f>H26+0.2%</f>
        <v>2.2100000000000002E-2</v>
      </c>
      <c r="I27" s="163">
        <v>316.08999999999997</v>
      </c>
      <c r="J27" s="163">
        <v>235.26</v>
      </c>
      <c r="K27" s="163">
        <v>180.9</v>
      </c>
      <c r="L27" s="163">
        <v>155.97</v>
      </c>
      <c r="M27" s="163">
        <v>133.28</v>
      </c>
      <c r="N27" s="163">
        <v>116.94</v>
      </c>
      <c r="O27" s="169">
        <v>102.96</v>
      </c>
    </row>
    <row r="28" spans="1:15">
      <c r="A28" s="6" t="s">
        <v>437</v>
      </c>
      <c r="B28" s="6"/>
      <c r="C28" s="177">
        <f>C26/C27</f>
        <v>156.04307764022724</v>
      </c>
      <c r="E28" s="39"/>
      <c r="G28" s="313"/>
      <c r="H28" s="135">
        <f t="shared" ref="H28:H29" si="10">H27+0.2%</f>
        <v>2.4100000000000003E-2</v>
      </c>
      <c r="I28" s="163">
        <v>310.10000000000002</v>
      </c>
      <c r="J28" s="163">
        <v>231.42</v>
      </c>
      <c r="K28" s="163">
        <v>177.98</v>
      </c>
      <c r="L28" s="163">
        <v>155.96</v>
      </c>
      <c r="M28" s="163">
        <v>131.69999999999999</v>
      </c>
      <c r="N28" s="163">
        <v>115.49</v>
      </c>
      <c r="O28" s="169">
        <v>102.05</v>
      </c>
    </row>
    <row r="29" spans="1:15" ht="15.75" thickBot="1">
      <c r="G29" s="156"/>
      <c r="H29" s="159">
        <f t="shared" si="10"/>
        <v>2.6100000000000005E-2</v>
      </c>
      <c r="I29" s="171">
        <v>304.41000000000003</v>
      </c>
      <c r="J29" s="171">
        <v>227.6</v>
      </c>
      <c r="K29" s="171">
        <v>175.12</v>
      </c>
      <c r="L29" s="171">
        <v>155.96</v>
      </c>
      <c r="M29" s="171">
        <v>130.04</v>
      </c>
      <c r="N29" s="171">
        <v>113.71</v>
      </c>
      <c r="O29" s="172">
        <v>100.97</v>
      </c>
    </row>
    <row r="32" spans="1:15">
      <c r="G32" s="160"/>
      <c r="H32" s="161"/>
      <c r="I32" s="161"/>
      <c r="J32" s="161"/>
      <c r="K32" s="161"/>
      <c r="L32" s="161"/>
      <c r="M32" s="161"/>
      <c r="N32" s="161"/>
    </row>
    <row r="33" spans="4:14" s="179" customFormat="1">
      <c r="G33" s="180"/>
      <c r="H33" s="181"/>
      <c r="I33" s="181"/>
      <c r="J33" s="181"/>
      <c r="K33" s="181"/>
      <c r="L33" s="181"/>
      <c r="M33" s="181"/>
      <c r="N33" s="181"/>
    </row>
    <row r="34" spans="4:14">
      <c r="G34" s="162"/>
      <c r="H34" s="163"/>
      <c r="I34" s="163"/>
      <c r="J34" s="163"/>
      <c r="K34" s="165"/>
      <c r="L34" s="163"/>
      <c r="M34" s="163"/>
      <c r="N34" s="163"/>
    </row>
    <row r="35" spans="4:14">
      <c r="G35" s="162"/>
      <c r="H35" s="163"/>
      <c r="I35" s="163"/>
      <c r="J35" s="163"/>
      <c r="K35" s="165"/>
      <c r="L35" s="163"/>
      <c r="M35" s="163"/>
      <c r="N35" s="163"/>
    </row>
    <row r="36" spans="4:14">
      <c r="G36" s="162"/>
      <c r="H36" s="163"/>
      <c r="I36" s="163"/>
      <c r="J36" s="163"/>
      <c r="K36" s="164"/>
      <c r="L36" s="163"/>
      <c r="M36" s="163"/>
      <c r="N36" s="163"/>
    </row>
    <row r="37" spans="4:14">
      <c r="G37" s="162"/>
      <c r="H37" s="163"/>
      <c r="I37" s="163"/>
      <c r="J37" s="163"/>
      <c r="K37" s="163"/>
      <c r="L37" s="163"/>
      <c r="M37" s="163"/>
      <c r="N37" s="163"/>
    </row>
    <row r="38" spans="4:14">
      <c r="G38" s="162"/>
      <c r="H38" s="163"/>
      <c r="I38" s="163"/>
      <c r="J38" s="163"/>
      <c r="K38" s="163"/>
      <c r="L38" s="163"/>
      <c r="M38" s="163"/>
      <c r="N38" s="163"/>
    </row>
    <row r="39" spans="4:14">
      <c r="G39" s="162"/>
      <c r="H39" s="163"/>
      <c r="I39" s="163"/>
      <c r="J39" s="163"/>
      <c r="K39" s="163"/>
      <c r="L39" s="163"/>
      <c r="M39" s="163"/>
      <c r="N39" s="163"/>
    </row>
    <row r="40" spans="4:14">
      <c r="G40" s="162"/>
      <c r="H40" s="163"/>
      <c r="I40" s="163"/>
      <c r="J40" s="163"/>
      <c r="K40" s="163"/>
      <c r="L40" s="163"/>
      <c r="M40" s="163"/>
      <c r="N40" s="163"/>
    </row>
    <row r="41" spans="4:14">
      <c r="G41" s="162"/>
      <c r="H41" s="163"/>
      <c r="I41" s="163"/>
      <c r="J41" s="163"/>
      <c r="K41" s="163"/>
      <c r="L41" s="163"/>
      <c r="M41" s="163"/>
      <c r="N41" s="163"/>
    </row>
    <row r="45" spans="4:14">
      <c r="D45" s="37"/>
    </row>
    <row r="46" spans="4:14">
      <c r="E46" s="134">
        <f>L32-K32</f>
        <v>0</v>
      </c>
    </row>
    <row r="47" spans="4:14">
      <c r="E47" s="135">
        <f>M32-L32</f>
        <v>0</v>
      </c>
    </row>
  </sheetData>
  <mergeCells count="4">
    <mergeCell ref="A2:A3"/>
    <mergeCell ref="D2:H2"/>
    <mergeCell ref="G22:G28"/>
    <mergeCell ref="I21:O21"/>
  </mergeCells>
  <pageMargins left="0.7" right="0.7" top="0.75" bottom="0.75" header="0.3" footer="0.3"/>
  <ignoredErrors>
    <ignoredError sqref="D15:G15" emptyCellReferenc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3"/>
  <sheetViews>
    <sheetView showGridLines="0" workbookViewId="0">
      <selection activeCell="D9" sqref="D9"/>
    </sheetView>
  </sheetViews>
  <sheetFormatPr defaultColWidth="9" defaultRowHeight="15"/>
  <cols>
    <col min="1" max="1" width="28.28515625" customWidth="1"/>
    <col min="2" max="2" width="12.7109375" customWidth="1"/>
  </cols>
  <sheetData>
    <row r="1" spans="1:2">
      <c r="A1" s="103" t="s">
        <v>410</v>
      </c>
    </row>
    <row r="2" spans="1:2">
      <c r="A2" s="151" t="s">
        <v>411</v>
      </c>
      <c r="B2" s="38">
        <v>0.27</v>
      </c>
    </row>
    <row r="4" spans="1:2">
      <c r="A4" s="103" t="s">
        <v>416</v>
      </c>
    </row>
    <row r="5" spans="1:2">
      <c r="A5" s="151" t="s">
        <v>417</v>
      </c>
    </row>
    <row r="6" spans="1:2">
      <c r="A6" s="151" t="s">
        <v>418</v>
      </c>
      <c r="B6">
        <v>1000</v>
      </c>
    </row>
    <row r="7" spans="1:2">
      <c r="A7" s="151" t="s">
        <v>419</v>
      </c>
      <c r="B7">
        <v>757.02</v>
      </c>
    </row>
    <row r="8" spans="1:2">
      <c r="A8" s="151" t="s">
        <v>420</v>
      </c>
      <c r="B8" s="152">
        <v>51086</v>
      </c>
    </row>
    <row r="9" spans="1:2">
      <c r="A9" s="151" t="s">
        <v>421</v>
      </c>
      <c r="B9" s="152">
        <v>45897</v>
      </c>
    </row>
    <row r="10" spans="1:2">
      <c r="A10" s="151" t="s">
        <v>422</v>
      </c>
      <c r="B10" s="101">
        <f>YEARFRAC(B9,B8,1)</f>
        <v>14.208652792990144</v>
      </c>
    </row>
    <row r="11" spans="1:2">
      <c r="A11" s="151" t="s">
        <v>423</v>
      </c>
      <c r="B11" s="135">
        <v>8.7500000000000008E-3</v>
      </c>
    </row>
    <row r="12" spans="1:2">
      <c r="A12" s="151" t="s">
        <v>424</v>
      </c>
      <c r="B12" s="101">
        <f>B11*B6</f>
        <v>8.75</v>
      </c>
    </row>
    <row r="13" spans="1:2">
      <c r="A13" s="151" t="s">
        <v>425</v>
      </c>
      <c r="B13" s="139">
        <f>RATE(B10,B12,-B7,B6,0)</f>
        <v>3.0006062299234023E-2</v>
      </c>
    </row>
    <row r="14" spans="1:2">
      <c r="A14" s="151" t="s">
        <v>426</v>
      </c>
      <c r="B14" s="134">
        <f>B13*(1-B2)</f>
        <v>2.1904425478440837E-2</v>
      </c>
    </row>
    <row r="15" spans="1:2">
      <c r="A15" s="151"/>
    </row>
    <row r="16" spans="1:2">
      <c r="A16" s="103" t="s">
        <v>415</v>
      </c>
    </row>
    <row r="17" spans="1:2">
      <c r="A17" s="151" t="s">
        <v>427</v>
      </c>
      <c r="B17" s="135">
        <f>'Cost of Capital'!B5</f>
        <v>4.07E-2</v>
      </c>
    </row>
    <row r="18" spans="1:2">
      <c r="A18" s="151" t="s">
        <v>428</v>
      </c>
      <c r="B18" s="135">
        <v>6.0000000000000001E-3</v>
      </c>
    </row>
    <row r="19" spans="1:2">
      <c r="A19" s="151" t="s">
        <v>429</v>
      </c>
      <c r="B19" s="135">
        <f>B17+B18</f>
        <v>4.6699999999999998E-2</v>
      </c>
    </row>
    <row r="20" spans="1:2">
      <c r="A20" s="151" t="s">
        <v>426</v>
      </c>
      <c r="B20" s="139">
        <f>B19*(1-B2)</f>
        <v>3.4090999999999996E-2</v>
      </c>
    </row>
    <row r="21" spans="1:2">
      <c r="A21" s="151" t="s">
        <v>90</v>
      </c>
    </row>
    <row r="23" spans="1:2" s="179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63"/>
  <sheetViews>
    <sheetView showGridLines="0" workbookViewId="0">
      <selection activeCell="A252" sqref="A252:XFD252"/>
    </sheetView>
  </sheetViews>
  <sheetFormatPr defaultColWidth="9" defaultRowHeight="15"/>
  <cols>
    <col min="1" max="1" width="35.42578125" customWidth="1"/>
    <col min="2" max="2" width="11.5703125" customWidth="1"/>
    <col min="3" max="4" width="14.140625" customWidth="1"/>
    <col min="5" max="5" width="12.140625" bestFit="1" customWidth="1"/>
    <col min="6" max="6" width="11.85546875" customWidth="1"/>
    <col min="7" max="7" width="11.5703125" bestFit="1" customWidth="1"/>
    <col min="8" max="8" width="11.42578125" customWidth="1"/>
    <col min="10" max="10" width="14.28515625" customWidth="1"/>
    <col min="12" max="12" width="12" customWidth="1"/>
    <col min="14" max="14" width="12.28515625" customWidth="1"/>
    <col min="16" max="16" width="20.42578125" bestFit="1" customWidth="1"/>
  </cols>
  <sheetData>
    <row r="1" spans="1:4">
      <c r="A1" s="318" t="s">
        <v>0</v>
      </c>
      <c r="B1" s="107"/>
      <c r="C1" s="107"/>
    </row>
    <row r="2" spans="1:4">
      <c r="A2" s="318"/>
      <c r="B2" s="107" t="s">
        <v>3</v>
      </c>
      <c r="C2" s="107"/>
    </row>
    <row r="4" spans="1:4">
      <c r="A4" s="6" t="s">
        <v>176</v>
      </c>
    </row>
    <row r="5" spans="1:4">
      <c r="A5" t="s">
        <v>178</v>
      </c>
      <c r="B5" s="184">
        <v>4.07E-2</v>
      </c>
    </row>
    <row r="6" spans="1:4">
      <c r="A6" t="s">
        <v>177</v>
      </c>
      <c r="B6" s="184">
        <f>B13</f>
        <v>7.5460180365856333E-2</v>
      </c>
    </row>
    <row r="8" spans="1:4">
      <c r="A8" s="182" t="s">
        <v>179</v>
      </c>
      <c r="B8" s="142" t="s">
        <v>180</v>
      </c>
      <c r="C8" s="142" t="s">
        <v>181</v>
      </c>
    </row>
    <row r="9" spans="1:4">
      <c r="A9" s="183">
        <v>31048</v>
      </c>
      <c r="B9" s="141">
        <v>1985</v>
      </c>
      <c r="C9" s="141">
        <v>1097.2</v>
      </c>
    </row>
    <row r="10" spans="1:4">
      <c r="A10" s="183">
        <v>45907</v>
      </c>
      <c r="B10" s="141">
        <v>2025</v>
      </c>
      <c r="C10" s="143">
        <v>21165.05</v>
      </c>
    </row>
    <row r="11" spans="1:4">
      <c r="A11" s="144"/>
      <c r="B11" s="144"/>
    </row>
    <row r="12" spans="1:4">
      <c r="A12" s="138" t="s">
        <v>182</v>
      </c>
      <c r="B12" s="185">
        <f>YEARFRAC(A9,A10,1)</f>
        <v>40.682404006677793</v>
      </c>
    </row>
    <row r="13" spans="1:4">
      <c r="A13" s="138" t="s">
        <v>183</v>
      </c>
      <c r="B13" s="186">
        <f>(C10/C9)^(1/B12)-1</f>
        <v>7.5460180365856333E-2</v>
      </c>
    </row>
    <row r="14" spans="1:4">
      <c r="A14" t="s">
        <v>411</v>
      </c>
      <c r="B14" s="187">
        <v>0.27</v>
      </c>
      <c r="D14" s="147"/>
    </row>
    <row r="15" spans="1:4">
      <c r="A15" s="103" t="s">
        <v>184</v>
      </c>
      <c r="B15" s="141"/>
    </row>
    <row r="16" spans="1:4">
      <c r="A16" s="151" t="s">
        <v>414</v>
      </c>
      <c r="B16" s="188">
        <f>J32</f>
        <v>0.35754874442413243</v>
      </c>
    </row>
    <row r="17" spans="1:11">
      <c r="A17" s="189" t="s">
        <v>176</v>
      </c>
      <c r="B17" s="190">
        <f>B5+(B6-B5)*B16</f>
        <v>5.3128458845768313E-2</v>
      </c>
    </row>
    <row r="18" spans="1:11" ht="15.75" thickBot="1">
      <c r="A18" s="140"/>
    </row>
    <row r="19" spans="1:11">
      <c r="A19" s="191" t="s">
        <v>401</v>
      </c>
      <c r="B19" s="192"/>
      <c r="C19" s="193" t="s">
        <v>402</v>
      </c>
      <c r="D19" s="193"/>
      <c r="E19" s="193" t="s">
        <v>403</v>
      </c>
      <c r="F19" s="193"/>
      <c r="G19" s="193" t="s">
        <v>404</v>
      </c>
      <c r="H19" s="193" t="s">
        <v>405</v>
      </c>
      <c r="I19" s="193"/>
      <c r="J19" s="194" t="s">
        <v>406</v>
      </c>
      <c r="K19" s="103"/>
    </row>
    <row r="20" spans="1:11">
      <c r="A20" s="195" t="s">
        <v>407</v>
      </c>
      <c r="J20" s="196"/>
    </row>
    <row r="21" spans="1:11">
      <c r="A21" s="197" t="s">
        <v>408</v>
      </c>
      <c r="C21" s="188">
        <f>E37</f>
        <v>0.32847874594713061</v>
      </c>
      <c r="E21" s="198">
        <f>AVERAGE(65807,65631,74274)</f>
        <v>68570.666666666672</v>
      </c>
      <c r="G21" s="198">
        <f>AVERAGE(7991,7583,6853)</f>
        <v>7475.666666666667</v>
      </c>
      <c r="H21" s="198">
        <f>G21+E21</f>
        <v>76046.333333333343</v>
      </c>
      <c r="J21" s="199">
        <f>(C21/(G21*(1-$B$14)+E21))*E21</f>
        <v>0.30426373814754865</v>
      </c>
    </row>
    <row r="22" spans="1:11">
      <c r="A22" s="200"/>
      <c r="J22" s="196"/>
    </row>
    <row r="23" spans="1:11">
      <c r="A23" s="203" t="s">
        <v>409</v>
      </c>
      <c r="B23" s="51"/>
      <c r="C23" s="51"/>
      <c r="D23" s="51"/>
      <c r="E23" s="51"/>
      <c r="F23" s="51"/>
      <c r="G23" s="51"/>
      <c r="H23" s="51"/>
      <c r="I23" s="51"/>
      <c r="J23" s="204"/>
    </row>
    <row r="24" spans="1:11">
      <c r="A24" s="197" t="s">
        <v>188</v>
      </c>
      <c r="C24" s="39">
        <f>G37</f>
        <v>0.39232795121982511</v>
      </c>
      <c r="E24" s="198">
        <f>AVERAGE(344995,357647,389234)</f>
        <v>363958.66666666669</v>
      </c>
      <c r="G24" s="198">
        <f>AVERAGE(24279,26361,22978)</f>
        <v>24539.333333333332</v>
      </c>
      <c r="H24" s="158">
        <f>E24+G24</f>
        <v>388498</v>
      </c>
      <c r="J24" s="199">
        <f t="shared" ref="J24:J27" si="0">(C24/(G24*(1-$B$14)+E24)*E24)</f>
        <v>0.37392376485053097</v>
      </c>
    </row>
    <row r="25" spans="1:11">
      <c r="A25" s="197" t="s">
        <v>189</v>
      </c>
      <c r="C25" s="39">
        <f>I37</f>
        <v>0.29535082931176004</v>
      </c>
      <c r="E25" s="198">
        <f>AVERAGE(45815,41063,43700)</f>
        <v>43526</v>
      </c>
      <c r="G25" s="198">
        <f>AVERAGE(8253,6917,6459)</f>
        <v>7209.666666666667</v>
      </c>
      <c r="H25" s="150">
        <f>E25+G25</f>
        <v>50735.666666666664</v>
      </c>
      <c r="J25" s="199">
        <f t="shared" si="0"/>
        <v>0.26349023889627027</v>
      </c>
    </row>
    <row r="26" spans="1:11">
      <c r="A26" s="197" t="s">
        <v>190</v>
      </c>
      <c r="C26" s="39">
        <f>K37</f>
        <v>0.40512847849786582</v>
      </c>
      <c r="E26" s="198">
        <f>AVERAGE(464228,377317,349226)</f>
        <v>396923.66666666669</v>
      </c>
      <c r="G26" s="198">
        <f>AVERAGE(16140,6405,12112)</f>
        <v>11552.333333333334</v>
      </c>
      <c r="H26" s="129">
        <f>E26+G26</f>
        <v>408476</v>
      </c>
      <c r="J26" s="199">
        <f t="shared" si="0"/>
        <v>0.39670002671093429</v>
      </c>
    </row>
    <row r="27" spans="1:11">
      <c r="A27" s="197" t="s">
        <v>191</v>
      </c>
      <c r="C27" s="39">
        <f>M37</f>
        <v>0.33243773348509381</v>
      </c>
      <c r="E27" s="198">
        <f>AVERAGE(119234,109432,136147)</f>
        <v>121604.33333333333</v>
      </c>
      <c r="G27" s="198">
        <f>AVERAGE(23676,23657,24519)</f>
        <v>23950.666666666668</v>
      </c>
      <c r="H27" s="158">
        <f>E27+G27</f>
        <v>145555</v>
      </c>
      <c r="J27" s="199">
        <f t="shared" si="0"/>
        <v>0.29064891254203928</v>
      </c>
    </row>
    <row r="28" spans="1:11">
      <c r="A28" s="200"/>
      <c r="J28" s="196"/>
    </row>
    <row r="29" spans="1:11" ht="15.75" thickBot="1">
      <c r="A29" s="201"/>
      <c r="B29" s="202"/>
      <c r="C29" s="202"/>
      <c r="D29" s="202"/>
      <c r="E29" s="202"/>
      <c r="F29" s="202"/>
      <c r="G29" s="320" t="s">
        <v>412</v>
      </c>
      <c r="H29" s="321"/>
      <c r="I29" s="205"/>
      <c r="J29" s="206">
        <f>AVERAGE(J24:J27)</f>
        <v>0.33119073574994373</v>
      </c>
    </row>
    <row r="31" spans="1:11">
      <c r="C31" s="103" t="s">
        <v>402</v>
      </c>
      <c r="E31" s="103" t="s">
        <v>403</v>
      </c>
      <c r="G31" s="103" t="s">
        <v>404</v>
      </c>
      <c r="H31" s="103" t="s">
        <v>405</v>
      </c>
      <c r="J31" s="103" t="s">
        <v>413</v>
      </c>
    </row>
    <row r="32" spans="1:11">
      <c r="A32" s="103" t="s">
        <v>413</v>
      </c>
      <c r="C32" s="39">
        <f>J29</f>
        <v>0.33119073574994373</v>
      </c>
      <c r="E32" s="150">
        <f>E21</f>
        <v>68570.666666666672</v>
      </c>
      <c r="G32" s="150">
        <f>G21</f>
        <v>7475.666666666667</v>
      </c>
      <c r="H32" s="150">
        <f>H21</f>
        <v>76046.333333333343</v>
      </c>
      <c r="J32" s="39">
        <f>(C32/E32)*(G32*(1-B14)+E32)</f>
        <v>0.35754874442413243</v>
      </c>
    </row>
    <row r="35" spans="1:15" ht="15.75" thickBot="1"/>
    <row r="36" spans="1:15">
      <c r="A36" s="207"/>
      <c r="B36" s="192"/>
      <c r="C36" s="316" t="s">
        <v>192</v>
      </c>
      <c r="D36" s="317"/>
      <c r="E36" s="319" t="s">
        <v>185</v>
      </c>
      <c r="F36" s="317"/>
      <c r="G36" s="319" t="s">
        <v>188</v>
      </c>
      <c r="H36" s="317"/>
      <c r="I36" s="319" t="s">
        <v>189</v>
      </c>
      <c r="J36" s="317"/>
      <c r="K36" s="319" t="s">
        <v>190</v>
      </c>
      <c r="L36" s="317"/>
      <c r="M36" s="316" t="s">
        <v>191</v>
      </c>
      <c r="N36" s="316"/>
      <c r="O36" s="208"/>
    </row>
    <row r="37" spans="1:15">
      <c r="A37" s="209"/>
      <c r="C37" s="210">
        <f>_xlfn.COVARIANCE.S($D$43:$D$249,D43:D249)/_xlfn.VAR.S($D$43:$D$249,D43:D249)</f>
        <v>1.0024271844660195</v>
      </c>
      <c r="D37" s="227"/>
      <c r="E37" s="245">
        <f>_xlfn.COVARIANCE.S($D$43:$D$249,F43:F249)/_xlfn.VAR.S($D$43:$D$249,F43:F249)</f>
        <v>0.32847874594713061</v>
      </c>
      <c r="F37" s="246"/>
      <c r="G37" s="243">
        <f>_xlfn.COVARIANCE.S($D$43:$D$249,H43:H249)/_xlfn.VAR.S($D$43:$D$249,H43:H249)</f>
        <v>0.39232795121982511</v>
      </c>
      <c r="H37" s="244"/>
      <c r="I37" s="243">
        <f>_xlfn.COVARIANCE.S($D$43:$D$249,J43:J249)/_xlfn.VAR.S($D$43:$D$249,J43:J249)</f>
        <v>0.29535082931176004</v>
      </c>
      <c r="J37" s="244"/>
      <c r="K37" s="243">
        <f>_xlfn.COVARIANCE.S($D$43:$D$249,L43:L249)/_xlfn.VAR.S($D$43:$D$249,L43:L249)</f>
        <v>0.40512847849786582</v>
      </c>
      <c r="L37" s="244"/>
      <c r="M37" s="243">
        <f>_xlfn.COVARIANCE.S($D$43:$D$249,N43:N249)/_xlfn.VAR.S($D$43:$D$249,N43:N249)</f>
        <v>0.33243773348509381</v>
      </c>
      <c r="N37" s="247"/>
      <c r="O37" s="196"/>
    </row>
    <row r="38" spans="1:15">
      <c r="A38" s="209"/>
      <c r="C38" s="211"/>
      <c r="D38" s="228"/>
      <c r="E38" s="233"/>
      <c r="F38" s="228"/>
      <c r="G38" s="240"/>
      <c r="H38" s="229"/>
      <c r="I38" s="233"/>
      <c r="J38" s="229"/>
      <c r="K38" s="233"/>
      <c r="L38" s="229"/>
      <c r="M38" s="142"/>
      <c r="N38" s="142"/>
      <c r="O38" s="196"/>
    </row>
    <row r="39" spans="1:15">
      <c r="A39" s="209"/>
      <c r="C39" s="142"/>
      <c r="D39" s="229"/>
      <c r="E39" s="233"/>
      <c r="F39" s="229"/>
      <c r="G39" s="241"/>
      <c r="H39" s="242"/>
      <c r="I39" s="241"/>
      <c r="J39" s="242"/>
      <c r="K39" s="241"/>
      <c r="L39" s="242"/>
      <c r="M39" s="142"/>
      <c r="N39" s="142"/>
      <c r="O39" s="196"/>
    </row>
    <row r="40" spans="1:15" ht="16.5">
      <c r="A40" s="223" t="s">
        <v>179</v>
      </c>
      <c r="B40" s="12"/>
      <c r="C40" s="224" t="s">
        <v>186</v>
      </c>
      <c r="D40" s="230" t="s">
        <v>187</v>
      </c>
      <c r="E40" s="234" t="s">
        <v>186</v>
      </c>
      <c r="F40" s="230" t="s">
        <v>187</v>
      </c>
      <c r="G40" s="224" t="s">
        <v>186</v>
      </c>
      <c r="H40" s="224" t="s">
        <v>187</v>
      </c>
      <c r="I40" s="238" t="s">
        <v>186</v>
      </c>
      <c r="J40" s="239" t="s">
        <v>187</v>
      </c>
      <c r="K40" s="225" t="s">
        <v>186</v>
      </c>
      <c r="L40" s="239" t="s">
        <v>187</v>
      </c>
      <c r="M40" s="225" t="s">
        <v>186</v>
      </c>
      <c r="N40" s="225" t="s">
        <v>187</v>
      </c>
      <c r="O40" s="226"/>
    </row>
    <row r="41" spans="1:15" ht="16.5">
      <c r="A41" s="212"/>
      <c r="D41" s="16"/>
      <c r="E41" s="235"/>
      <c r="F41" s="16"/>
      <c r="I41" s="235"/>
      <c r="J41" s="16"/>
      <c r="L41" s="16"/>
      <c r="O41" s="196"/>
    </row>
    <row r="42" spans="1:15" ht="16.5">
      <c r="A42" s="213" t="s">
        <v>193</v>
      </c>
      <c r="C42" s="214">
        <v>21056.400000000001</v>
      </c>
      <c r="D42" s="16"/>
      <c r="E42" s="236">
        <v>82.29</v>
      </c>
      <c r="F42" s="16"/>
      <c r="G42" s="145">
        <v>155.88999999999999</v>
      </c>
      <c r="I42" s="236">
        <v>127.01</v>
      </c>
      <c r="J42" s="16"/>
      <c r="K42" s="148">
        <v>174.33</v>
      </c>
      <c r="L42" s="16"/>
      <c r="M42" s="148">
        <v>62.6</v>
      </c>
      <c r="O42" s="196"/>
    </row>
    <row r="43" spans="1:15" ht="16.5">
      <c r="A43" s="215" t="s">
        <v>194</v>
      </c>
      <c r="C43" s="214">
        <v>20894.599999999999</v>
      </c>
      <c r="D43" s="231">
        <f>C43/C42-1</f>
        <v>-7.6841245417071935E-3</v>
      </c>
      <c r="E43" s="236">
        <v>82.65</v>
      </c>
      <c r="F43" s="231">
        <f>E43/E42-1</f>
        <v>4.3747721472839896E-3</v>
      </c>
      <c r="G43" s="145">
        <v>156.49</v>
      </c>
      <c r="H43" s="216">
        <f>G43/G42-1</f>
        <v>3.8488677913914859E-3</v>
      </c>
      <c r="I43" s="236">
        <v>127.1</v>
      </c>
      <c r="J43" s="231">
        <f>I43/I42-1</f>
        <v>7.0860562160457441E-4</v>
      </c>
      <c r="K43" s="148">
        <v>176.53</v>
      </c>
      <c r="L43" s="231">
        <f>K43/K42-1</f>
        <v>1.2619744163368196E-2</v>
      </c>
      <c r="M43" s="148">
        <v>63.25</v>
      </c>
      <c r="N43" s="216">
        <f>M43/M42-1</f>
        <v>1.0383386581469534E-2</v>
      </c>
      <c r="O43" s="196"/>
    </row>
    <row r="44" spans="1:15" ht="16.5">
      <c r="A44" s="215" t="s">
        <v>195</v>
      </c>
      <c r="C44" s="214">
        <v>20980.5</v>
      </c>
      <c r="D44" s="231">
        <f t="shared" ref="D44:D107" si="1">C44/C43-1</f>
        <v>4.1111100475721418E-3</v>
      </c>
      <c r="E44" s="236">
        <v>83.22</v>
      </c>
      <c r="F44" s="231">
        <f t="shared" ref="F44:F107" si="2">E44/E43-1</f>
        <v>6.8965517241379448E-3</v>
      </c>
      <c r="G44" s="145">
        <v>155.03</v>
      </c>
      <c r="H44" s="216">
        <f t="shared" ref="H44:H107" si="3">G44/G43-1</f>
        <v>-9.3296696274522972E-3</v>
      </c>
      <c r="I44" s="236">
        <v>128.02000000000001</v>
      </c>
      <c r="J44" s="231">
        <f t="shared" ref="J44:J107" si="4">I44/I43-1</f>
        <v>7.2383949645948853E-3</v>
      </c>
      <c r="K44" s="148">
        <v>174.63</v>
      </c>
      <c r="L44" s="231">
        <f t="shared" ref="L44:L107" si="5">K44/K43-1</f>
        <v>-1.0763043108820036E-2</v>
      </c>
      <c r="M44" s="148">
        <v>61.79</v>
      </c>
      <c r="N44" s="216">
        <f t="shared" ref="N44:N107" si="6">M44/M43-1</f>
        <v>-2.3083003952569237E-2</v>
      </c>
      <c r="O44" s="196"/>
    </row>
    <row r="45" spans="1:15" ht="16.5">
      <c r="A45" s="215" t="s">
        <v>196</v>
      </c>
      <c r="C45" s="214">
        <v>20746.900000000001</v>
      </c>
      <c r="D45" s="231">
        <f t="shared" si="1"/>
        <v>-1.1134148375872788E-2</v>
      </c>
      <c r="E45" s="236">
        <v>84.25</v>
      </c>
      <c r="F45" s="231">
        <f t="shared" si="2"/>
        <v>1.2376832492189349E-2</v>
      </c>
      <c r="G45" s="145">
        <v>154.16999999999999</v>
      </c>
      <c r="H45" s="216">
        <f t="shared" si="3"/>
        <v>-5.5473134232084664E-3</v>
      </c>
      <c r="I45" s="236">
        <v>130.59</v>
      </c>
      <c r="J45" s="231">
        <f t="shared" si="4"/>
        <v>2.007498828308063E-2</v>
      </c>
      <c r="K45" s="148">
        <v>175.98</v>
      </c>
      <c r="L45" s="231">
        <f t="shared" si="5"/>
        <v>7.7306304758633093E-3</v>
      </c>
      <c r="M45" s="148">
        <v>60.86</v>
      </c>
      <c r="N45" s="216">
        <f t="shared" si="6"/>
        <v>-1.5050979122835373E-2</v>
      </c>
      <c r="O45" s="196"/>
    </row>
    <row r="46" spans="1:15" ht="16.5">
      <c r="A46" s="215" t="s">
        <v>197</v>
      </c>
      <c r="C46" s="214">
        <v>20462.5</v>
      </c>
      <c r="D46" s="231">
        <f t="shared" si="1"/>
        <v>-1.3708072049318232E-2</v>
      </c>
      <c r="E46" s="236">
        <v>84.16</v>
      </c>
      <c r="F46" s="231">
        <f t="shared" si="2"/>
        <v>-1.068249258160292E-3</v>
      </c>
      <c r="G46" s="145">
        <v>153.27000000000001</v>
      </c>
      <c r="H46" s="216">
        <f t="shared" si="3"/>
        <v>-5.8377116170459376E-3</v>
      </c>
      <c r="I46" s="236">
        <v>131.62</v>
      </c>
      <c r="J46" s="231">
        <f t="shared" si="4"/>
        <v>7.8872808025116647E-3</v>
      </c>
      <c r="K46" s="148">
        <v>171.81</v>
      </c>
      <c r="L46" s="231">
        <f t="shared" si="5"/>
        <v>-2.3695874531196703E-2</v>
      </c>
      <c r="M46" s="148">
        <v>60.65</v>
      </c>
      <c r="N46" s="216">
        <f t="shared" si="6"/>
        <v>-3.4505422280644016E-3</v>
      </c>
      <c r="O46" s="196"/>
    </row>
    <row r="47" spans="1:15" ht="16.5">
      <c r="A47" s="215" t="s">
        <v>198</v>
      </c>
      <c r="C47" s="214">
        <v>20267.7</v>
      </c>
      <c r="D47" s="231">
        <f t="shared" si="1"/>
        <v>-9.5198533903481097E-3</v>
      </c>
      <c r="E47" s="236">
        <v>82.4</v>
      </c>
      <c r="F47" s="231">
        <f t="shared" si="2"/>
        <v>-2.0912547528517011E-2</v>
      </c>
      <c r="G47" s="145">
        <v>150.02000000000001</v>
      </c>
      <c r="H47" s="216">
        <f t="shared" si="3"/>
        <v>-2.120441051738764E-2</v>
      </c>
      <c r="I47" s="236">
        <v>131.19</v>
      </c>
      <c r="J47" s="231">
        <f t="shared" si="4"/>
        <v>-3.2669807020210273E-3</v>
      </c>
      <c r="K47" s="148">
        <v>166.64</v>
      </c>
      <c r="L47" s="231">
        <f t="shared" si="5"/>
        <v>-3.009138001280498E-2</v>
      </c>
      <c r="M47" s="148">
        <v>59.82</v>
      </c>
      <c r="N47" s="216">
        <f t="shared" si="6"/>
        <v>-1.3685078318219301E-2</v>
      </c>
      <c r="O47" s="196"/>
    </row>
    <row r="48" spans="1:15" ht="16.5">
      <c r="A48" s="215" t="s">
        <v>199</v>
      </c>
      <c r="C48" s="214">
        <v>20131.8</v>
      </c>
      <c r="D48" s="231">
        <f t="shared" si="1"/>
        <v>-6.7052502257286539E-3</v>
      </c>
      <c r="E48" s="236">
        <v>82.7</v>
      </c>
      <c r="F48" s="231">
        <f t="shared" si="2"/>
        <v>3.6407766990291801E-3</v>
      </c>
      <c r="G48" s="145">
        <v>149.91</v>
      </c>
      <c r="H48" s="216">
        <f t="shared" si="3"/>
        <v>-7.3323556859095085E-4</v>
      </c>
      <c r="I48" s="236">
        <v>124.37</v>
      </c>
      <c r="J48" s="231">
        <f t="shared" si="4"/>
        <v>-5.1985669639454168E-2</v>
      </c>
      <c r="K48" s="148">
        <v>164.23</v>
      </c>
      <c r="L48" s="231">
        <f t="shared" si="5"/>
        <v>-1.446231397023523E-2</v>
      </c>
      <c r="M48" s="148">
        <v>58.15</v>
      </c>
      <c r="N48" s="216">
        <f t="shared" si="6"/>
        <v>-2.7917084587094632E-2</v>
      </c>
      <c r="O48" s="196"/>
    </row>
    <row r="49" spans="1:15" ht="16.5">
      <c r="A49" s="215" t="s">
        <v>200</v>
      </c>
      <c r="C49" s="214">
        <v>20513.5</v>
      </c>
      <c r="D49" s="231">
        <f t="shared" si="1"/>
        <v>1.896005324908856E-2</v>
      </c>
      <c r="E49" s="236">
        <v>86.57</v>
      </c>
      <c r="F49" s="231">
        <f t="shared" si="2"/>
        <v>4.6795646916565792E-2</v>
      </c>
      <c r="G49" s="145">
        <v>154.88999999999999</v>
      </c>
      <c r="H49" s="216">
        <f t="shared" si="3"/>
        <v>3.3219931959175497E-2</v>
      </c>
      <c r="I49" s="236">
        <v>126.53</v>
      </c>
      <c r="J49" s="231">
        <f t="shared" si="4"/>
        <v>1.736753236310995E-2</v>
      </c>
      <c r="K49" s="148">
        <v>162.78</v>
      </c>
      <c r="L49" s="231">
        <f t="shared" si="5"/>
        <v>-8.8290811666564828E-3</v>
      </c>
      <c r="M49" s="148">
        <v>59.58</v>
      </c>
      <c r="N49" s="216">
        <f t="shared" si="6"/>
        <v>2.4591573516766996E-2</v>
      </c>
      <c r="O49" s="196"/>
    </row>
    <row r="50" spans="1:15" ht="16.5">
      <c r="A50" s="215" t="s">
        <v>201</v>
      </c>
      <c r="C50" s="214">
        <v>20277.7</v>
      </c>
      <c r="D50" s="231">
        <f t="shared" si="1"/>
        <v>-1.1494869232456684E-2</v>
      </c>
      <c r="E50" s="236">
        <v>86.5</v>
      </c>
      <c r="F50" s="231">
        <f t="shared" si="2"/>
        <v>-8.0859420122436632E-4</v>
      </c>
      <c r="G50" s="145">
        <v>151.9</v>
      </c>
      <c r="H50" s="216">
        <f t="shared" si="3"/>
        <v>-1.9304022209309712E-2</v>
      </c>
      <c r="I50" s="236">
        <v>125.15</v>
      </c>
      <c r="J50" s="231">
        <f t="shared" si="4"/>
        <v>-1.0906504386311466E-2</v>
      </c>
      <c r="K50" s="148">
        <v>154.80000000000001</v>
      </c>
      <c r="L50" s="231">
        <f t="shared" si="5"/>
        <v>-4.9023221525985927E-2</v>
      </c>
      <c r="M50" s="148">
        <v>59.53</v>
      </c>
      <c r="N50" s="216">
        <f t="shared" si="6"/>
        <v>-8.3920778784818406E-4</v>
      </c>
      <c r="O50" s="196"/>
    </row>
    <row r="51" spans="1:15" ht="16.5">
      <c r="A51" s="215" t="s">
        <v>202</v>
      </c>
      <c r="C51" s="214">
        <v>20441.5</v>
      </c>
      <c r="D51" s="231">
        <f t="shared" si="1"/>
        <v>8.0778392026708001E-3</v>
      </c>
      <c r="E51" s="236">
        <v>89.1</v>
      </c>
      <c r="F51" s="231">
        <f t="shared" si="2"/>
        <v>3.0057803468207966E-2</v>
      </c>
      <c r="G51" s="145">
        <v>155.94999999999999</v>
      </c>
      <c r="H51" s="216">
        <f t="shared" si="3"/>
        <v>2.6662277814351487E-2</v>
      </c>
      <c r="I51" s="236">
        <v>129.21</v>
      </c>
      <c r="J51" s="231">
        <f t="shared" si="4"/>
        <v>3.2441070715141906E-2</v>
      </c>
      <c r="K51" s="148">
        <v>154.21</v>
      </c>
      <c r="L51" s="231">
        <f t="shared" si="5"/>
        <v>-3.811369509043927E-3</v>
      </c>
      <c r="M51" s="148">
        <v>60.46</v>
      </c>
      <c r="N51" s="216">
        <f t="shared" si="6"/>
        <v>1.5622375272971611E-2</v>
      </c>
      <c r="O51" s="196"/>
    </row>
    <row r="52" spans="1:15" ht="16.5">
      <c r="A52" s="215" t="s">
        <v>203</v>
      </c>
      <c r="C52" s="214">
        <v>20338.400000000001</v>
      </c>
      <c r="D52" s="231">
        <f t="shared" si="1"/>
        <v>-5.0436611794633102E-3</v>
      </c>
      <c r="E52" s="236">
        <v>88.5</v>
      </c>
      <c r="F52" s="231">
        <f t="shared" si="2"/>
        <v>-6.7340067340067034E-3</v>
      </c>
      <c r="G52" s="145">
        <v>158.13</v>
      </c>
      <c r="H52" s="216">
        <f t="shared" si="3"/>
        <v>1.397883937159361E-2</v>
      </c>
      <c r="I52" s="236">
        <v>127.68</v>
      </c>
      <c r="J52" s="231">
        <f t="shared" si="4"/>
        <v>-1.1841188762479637E-2</v>
      </c>
      <c r="K52" s="148">
        <v>151.52000000000001</v>
      </c>
      <c r="L52" s="231">
        <f t="shared" si="5"/>
        <v>-1.744374554179362E-2</v>
      </c>
      <c r="M52" s="148">
        <v>60.61</v>
      </c>
      <c r="N52" s="216">
        <f t="shared" si="6"/>
        <v>2.4809791597750763E-3</v>
      </c>
      <c r="O52" s="196"/>
    </row>
    <row r="53" spans="1:15" ht="16.5">
      <c r="A53" s="215" t="s">
        <v>204</v>
      </c>
      <c r="C53" s="214">
        <v>19765.400000000001</v>
      </c>
      <c r="D53" s="231">
        <f t="shared" si="1"/>
        <v>-2.8173307634818845E-2</v>
      </c>
      <c r="E53" s="236">
        <v>87.07</v>
      </c>
      <c r="F53" s="231">
        <f t="shared" si="2"/>
        <v>-1.6158192090395596E-2</v>
      </c>
      <c r="G53" s="145">
        <v>157.16999999999999</v>
      </c>
      <c r="H53" s="216">
        <f t="shared" si="3"/>
        <v>-6.0709542781256509E-3</v>
      </c>
      <c r="I53" s="236">
        <v>126.3</v>
      </c>
      <c r="J53" s="231">
        <f t="shared" si="4"/>
        <v>-1.0808270676691767E-2</v>
      </c>
      <c r="K53" s="148">
        <v>149.74</v>
      </c>
      <c r="L53" s="231">
        <f t="shared" si="5"/>
        <v>-1.1747624076029584E-2</v>
      </c>
      <c r="M53" s="148">
        <v>60.37</v>
      </c>
      <c r="N53" s="216">
        <f t="shared" si="6"/>
        <v>-3.9597426167299332E-3</v>
      </c>
      <c r="O53" s="196"/>
    </row>
    <row r="54" spans="1:15" ht="16.5">
      <c r="A54" s="215" t="s">
        <v>205</v>
      </c>
      <c r="C54" s="214">
        <v>19838.3</v>
      </c>
      <c r="D54" s="231">
        <f t="shared" si="1"/>
        <v>3.6882633288473077E-3</v>
      </c>
      <c r="E54" s="236">
        <v>87.64</v>
      </c>
      <c r="F54" s="231">
        <f t="shared" si="2"/>
        <v>6.5464568737798601E-3</v>
      </c>
      <c r="G54" s="145">
        <v>157.66</v>
      </c>
      <c r="H54" s="216">
        <f t="shared" si="3"/>
        <v>3.1176433161546058E-3</v>
      </c>
      <c r="I54" s="236">
        <v>127.74</v>
      </c>
      <c r="J54" s="231">
        <f t="shared" si="4"/>
        <v>1.1401425178147351E-2</v>
      </c>
      <c r="K54" s="148">
        <v>149.04</v>
      </c>
      <c r="L54" s="231">
        <f t="shared" si="5"/>
        <v>-4.674769600641171E-3</v>
      </c>
      <c r="M54" s="148">
        <v>61.16</v>
      </c>
      <c r="N54" s="216">
        <f t="shared" si="6"/>
        <v>1.3085969852575818E-2</v>
      </c>
      <c r="O54" s="196"/>
    </row>
    <row r="55" spans="1:15" ht="16.5">
      <c r="A55" s="215" t="s">
        <v>206</v>
      </c>
      <c r="C55" s="214">
        <v>19934.599999999999</v>
      </c>
      <c r="D55" s="231">
        <f t="shared" si="1"/>
        <v>4.8542465836285409E-3</v>
      </c>
      <c r="E55" s="236">
        <v>89.71</v>
      </c>
      <c r="F55" s="231">
        <f t="shared" si="2"/>
        <v>2.3619351894112128E-2</v>
      </c>
      <c r="G55" s="145">
        <v>159.91</v>
      </c>
      <c r="H55" s="216">
        <f t="shared" si="3"/>
        <v>1.4271216541925646E-2</v>
      </c>
      <c r="I55" s="236">
        <v>130.57</v>
      </c>
      <c r="J55" s="231">
        <f t="shared" si="4"/>
        <v>2.2154376076405136E-2</v>
      </c>
      <c r="K55" s="148">
        <v>154.44999999999999</v>
      </c>
      <c r="L55" s="231">
        <f t="shared" si="5"/>
        <v>3.62989801395599E-2</v>
      </c>
      <c r="M55" s="148">
        <v>62.32</v>
      </c>
      <c r="N55" s="216">
        <f t="shared" si="6"/>
        <v>1.8966644865925586E-2</v>
      </c>
      <c r="O55" s="196"/>
    </row>
    <row r="56" spans="1:15" ht="16.5">
      <c r="A56" s="215" t="s">
        <v>207</v>
      </c>
      <c r="C56" s="214">
        <v>19599.400000000001</v>
      </c>
      <c r="D56" s="231">
        <f t="shared" si="1"/>
        <v>-1.681498500095302E-2</v>
      </c>
      <c r="E56" s="236">
        <v>89.43</v>
      </c>
      <c r="F56" s="231">
        <f t="shared" si="2"/>
        <v>-3.1211682086722536E-3</v>
      </c>
      <c r="G56" s="145">
        <v>162.51</v>
      </c>
      <c r="H56" s="216">
        <f t="shared" si="3"/>
        <v>1.6259145769495387E-2</v>
      </c>
      <c r="I56" s="236">
        <v>133.22</v>
      </c>
      <c r="J56" s="231">
        <f t="shared" si="4"/>
        <v>2.0295626866814853E-2</v>
      </c>
      <c r="K56" s="148">
        <v>152.30000000000001</v>
      </c>
      <c r="L56" s="231">
        <f t="shared" si="5"/>
        <v>-1.3920362576885559E-2</v>
      </c>
      <c r="M56" s="148">
        <v>62.6</v>
      </c>
      <c r="N56" s="216">
        <f t="shared" si="6"/>
        <v>4.49293966623876E-3</v>
      </c>
      <c r="O56" s="196"/>
    </row>
    <row r="57" spans="1:15" ht="16.5">
      <c r="A57" s="215" t="s">
        <v>208</v>
      </c>
      <c r="C57" s="214">
        <v>19534.8</v>
      </c>
      <c r="D57" s="231">
        <f t="shared" si="1"/>
        <v>-3.2960192658959553E-3</v>
      </c>
      <c r="E57" s="236">
        <v>91.06</v>
      </c>
      <c r="F57" s="231">
        <f t="shared" si="2"/>
        <v>1.8226545901822711E-2</v>
      </c>
      <c r="G57" s="145">
        <v>165.27</v>
      </c>
      <c r="H57" s="216">
        <f t="shared" si="3"/>
        <v>1.6983570241831503E-2</v>
      </c>
      <c r="I57" s="236">
        <v>141.15</v>
      </c>
      <c r="J57" s="231">
        <f t="shared" si="4"/>
        <v>5.9525596757243671E-2</v>
      </c>
      <c r="K57" s="148">
        <v>151.56</v>
      </c>
      <c r="L57" s="231">
        <f t="shared" si="5"/>
        <v>-4.8588312541038015E-3</v>
      </c>
      <c r="M57" s="148">
        <v>63.01</v>
      </c>
      <c r="N57" s="216">
        <f t="shared" si="6"/>
        <v>6.5495207667731759E-3</v>
      </c>
      <c r="O57" s="196"/>
    </row>
    <row r="58" spans="1:15" ht="16.5">
      <c r="A58" s="215" t="s">
        <v>209</v>
      </c>
      <c r="C58" s="214">
        <v>19390.900000000001</v>
      </c>
      <c r="D58" s="231">
        <f t="shared" si="1"/>
        <v>-7.3663410938427099E-3</v>
      </c>
      <c r="E58" s="236">
        <v>90.47</v>
      </c>
      <c r="F58" s="231">
        <f t="shared" si="2"/>
        <v>-6.4792444542060013E-3</v>
      </c>
      <c r="G58" s="145">
        <v>163.41</v>
      </c>
      <c r="H58" s="216">
        <f t="shared" si="3"/>
        <v>-1.1254311127246397E-2</v>
      </c>
      <c r="I58" s="236">
        <v>138.06</v>
      </c>
      <c r="J58" s="231">
        <f t="shared" si="4"/>
        <v>-2.1891604675876697E-2</v>
      </c>
      <c r="K58" s="148">
        <v>151.05000000000001</v>
      </c>
      <c r="L58" s="231">
        <f t="shared" si="5"/>
        <v>-3.3650039588281055E-3</v>
      </c>
      <c r="M58" s="148">
        <v>61.98</v>
      </c>
      <c r="N58" s="216">
        <f t="shared" si="6"/>
        <v>-1.6346611648944576E-2</v>
      </c>
      <c r="O58" s="196"/>
    </row>
    <row r="59" spans="1:15" ht="16.5">
      <c r="A59" s="215" t="s">
        <v>210</v>
      </c>
      <c r="C59" s="214">
        <v>19319.2</v>
      </c>
      <c r="D59" s="231">
        <f t="shared" si="1"/>
        <v>-3.697610734932355E-3</v>
      </c>
      <c r="E59" s="236">
        <v>86.94</v>
      </c>
      <c r="F59" s="231">
        <f t="shared" si="2"/>
        <v>-3.9018459157731833E-2</v>
      </c>
      <c r="G59" s="145">
        <v>156.69</v>
      </c>
      <c r="H59" s="216">
        <f t="shared" si="3"/>
        <v>-4.1123554250045879E-2</v>
      </c>
      <c r="I59" s="236">
        <v>132.01</v>
      </c>
      <c r="J59" s="231">
        <f t="shared" si="4"/>
        <v>-4.3821526872374394E-2</v>
      </c>
      <c r="K59" s="148">
        <v>146.12</v>
      </c>
      <c r="L59" s="231">
        <f t="shared" si="5"/>
        <v>-3.2638199271764368E-2</v>
      </c>
      <c r="M59" s="148">
        <v>60.51</v>
      </c>
      <c r="N59" s="216">
        <f t="shared" si="6"/>
        <v>-2.3717328170377527E-2</v>
      </c>
      <c r="O59" s="196"/>
    </row>
    <row r="60" spans="1:15" ht="16.5">
      <c r="A60" s="215" t="s">
        <v>211</v>
      </c>
      <c r="C60" s="214">
        <v>19138.400000000001</v>
      </c>
      <c r="D60" s="231">
        <f t="shared" si="1"/>
        <v>-9.358565572073374E-3</v>
      </c>
      <c r="E60" s="236">
        <v>89.71</v>
      </c>
      <c r="F60" s="231">
        <f t="shared" si="2"/>
        <v>3.1861053600183986E-2</v>
      </c>
      <c r="G60" s="145">
        <v>157.41</v>
      </c>
      <c r="H60" s="216">
        <f t="shared" si="3"/>
        <v>4.5950603101665433E-3</v>
      </c>
      <c r="I60" s="236">
        <v>129.76</v>
      </c>
      <c r="J60" s="231">
        <f t="shared" si="4"/>
        <v>-1.7044163320960481E-2</v>
      </c>
      <c r="K60" s="148">
        <v>153.68</v>
      </c>
      <c r="L60" s="231">
        <f t="shared" si="5"/>
        <v>5.173829728989876E-2</v>
      </c>
      <c r="M60" s="148">
        <v>62.4</v>
      </c>
      <c r="N60" s="216">
        <f t="shared" si="6"/>
        <v>3.1234506693108566E-2</v>
      </c>
      <c r="O60" s="196"/>
    </row>
    <row r="61" spans="1:15" ht="16.5">
      <c r="A61" s="215" t="s">
        <v>212</v>
      </c>
      <c r="C61" s="214">
        <v>18753.599999999999</v>
      </c>
      <c r="D61" s="231">
        <f t="shared" si="1"/>
        <v>-2.010617397483605E-2</v>
      </c>
      <c r="E61" s="236">
        <v>89.75</v>
      </c>
      <c r="F61" s="231">
        <f t="shared" si="2"/>
        <v>4.4588117266752825E-4</v>
      </c>
      <c r="G61" s="145">
        <v>159.05000000000001</v>
      </c>
      <c r="H61" s="216">
        <f t="shared" si="3"/>
        <v>1.0418651928085998E-2</v>
      </c>
      <c r="I61" s="236">
        <v>128.22999999999999</v>
      </c>
      <c r="J61" s="231">
        <f t="shared" si="4"/>
        <v>-1.1790998766954441E-2</v>
      </c>
      <c r="K61" s="148">
        <v>153.36000000000001</v>
      </c>
      <c r="L61" s="231">
        <f t="shared" si="5"/>
        <v>-2.0822488287349783E-3</v>
      </c>
      <c r="M61" s="148">
        <v>62.58</v>
      </c>
      <c r="N61" s="216">
        <f t="shared" si="6"/>
        <v>2.8846153846153744E-3</v>
      </c>
      <c r="O61" s="196"/>
    </row>
    <row r="62" spans="1:15" ht="16.5">
      <c r="A62" s="215" t="s">
        <v>213</v>
      </c>
      <c r="C62" s="214">
        <v>17857.8</v>
      </c>
      <c r="D62" s="231">
        <f t="shared" si="1"/>
        <v>-4.776682876887639E-2</v>
      </c>
      <c r="E62" s="236">
        <v>91.84</v>
      </c>
      <c r="F62" s="231">
        <f t="shared" si="2"/>
        <v>2.3286908077994495E-2</v>
      </c>
      <c r="G62" s="145">
        <v>156.58000000000001</v>
      </c>
      <c r="H62" s="216">
        <f t="shared" si="3"/>
        <v>-1.5529707639107215E-2</v>
      </c>
      <c r="I62" s="236">
        <v>129.84</v>
      </c>
      <c r="J62" s="231">
        <f t="shared" si="4"/>
        <v>1.2555564220541271E-2</v>
      </c>
      <c r="K62" s="148">
        <v>152.44999999999999</v>
      </c>
      <c r="L62" s="231">
        <f t="shared" si="5"/>
        <v>-5.9337506520606986E-3</v>
      </c>
      <c r="M62" s="148">
        <v>62.35</v>
      </c>
      <c r="N62" s="216">
        <f t="shared" si="6"/>
        <v>-3.6752956216042909E-3</v>
      </c>
      <c r="O62" s="196"/>
    </row>
    <row r="63" spans="1:15" ht="16.5">
      <c r="A63" s="215" t="s">
        <v>214</v>
      </c>
      <c r="C63" s="214">
        <v>18124.5</v>
      </c>
      <c r="D63" s="231">
        <f t="shared" si="1"/>
        <v>1.493465040486508E-2</v>
      </c>
      <c r="E63" s="236">
        <v>93.21</v>
      </c>
      <c r="F63" s="231">
        <f t="shared" si="2"/>
        <v>1.4917247386759369E-2</v>
      </c>
      <c r="G63" s="145">
        <v>165.78</v>
      </c>
      <c r="H63" s="216">
        <f t="shared" si="3"/>
        <v>5.8755907523310613E-2</v>
      </c>
      <c r="I63" s="236">
        <v>138.63</v>
      </c>
      <c r="J63" s="231">
        <f t="shared" si="4"/>
        <v>6.7698706099815098E-2</v>
      </c>
      <c r="K63" s="148">
        <v>151.16999999999999</v>
      </c>
      <c r="L63" s="231">
        <f t="shared" si="5"/>
        <v>-8.3961954739258937E-3</v>
      </c>
      <c r="M63" s="148">
        <v>61.35</v>
      </c>
      <c r="N63" s="216">
        <f t="shared" si="6"/>
        <v>-1.6038492381716063E-2</v>
      </c>
      <c r="O63" s="196"/>
    </row>
    <row r="64" spans="1:15" ht="16.5">
      <c r="A64" s="215" t="s">
        <v>215</v>
      </c>
      <c r="C64" s="214">
        <v>16820.099999999999</v>
      </c>
      <c r="D64" s="231">
        <f t="shared" si="1"/>
        <v>-7.1968881900190462E-2</v>
      </c>
      <c r="E64" s="236">
        <v>87.48</v>
      </c>
      <c r="F64" s="231">
        <f t="shared" si="2"/>
        <v>-6.1474090762793532E-2</v>
      </c>
      <c r="G64" s="145">
        <v>156.69</v>
      </c>
      <c r="H64" s="216">
        <f t="shared" si="3"/>
        <v>-5.4831704668838244E-2</v>
      </c>
      <c r="I64" s="236">
        <v>131.52000000000001</v>
      </c>
      <c r="J64" s="231">
        <f t="shared" si="4"/>
        <v>-5.1287600086561191E-2</v>
      </c>
      <c r="K64" s="148">
        <v>141.5</v>
      </c>
      <c r="L64" s="231">
        <f t="shared" si="5"/>
        <v>-6.3967718462657808E-2</v>
      </c>
      <c r="M64" s="148">
        <v>56.8</v>
      </c>
      <c r="N64" s="216">
        <f t="shared" si="6"/>
        <v>-7.416462917685418E-2</v>
      </c>
      <c r="O64" s="196"/>
    </row>
    <row r="65" spans="1:15" ht="16.5">
      <c r="A65" s="215" t="s">
        <v>216</v>
      </c>
      <c r="C65" s="214">
        <v>17583.7</v>
      </c>
      <c r="D65" s="231">
        <f t="shared" si="1"/>
        <v>4.5398065409837152E-2</v>
      </c>
      <c r="E65" s="236">
        <v>91.32</v>
      </c>
      <c r="F65" s="231">
        <f t="shared" si="2"/>
        <v>4.3895747599451251E-2</v>
      </c>
      <c r="G65" s="145">
        <v>163.47</v>
      </c>
      <c r="H65" s="216">
        <f t="shared" si="3"/>
        <v>4.3270151254068523E-2</v>
      </c>
      <c r="I65" s="236">
        <v>137.65</v>
      </c>
      <c r="J65" s="231">
        <f t="shared" si="4"/>
        <v>4.6608880778588713E-2</v>
      </c>
      <c r="K65" s="148">
        <v>152.93</v>
      </c>
      <c r="L65" s="231">
        <f t="shared" si="5"/>
        <v>8.0777385159010562E-2</v>
      </c>
      <c r="M65" s="148">
        <v>59.28</v>
      </c>
      <c r="N65" s="216">
        <f t="shared" si="6"/>
        <v>4.3661971830986079E-2</v>
      </c>
      <c r="O65" s="196"/>
    </row>
    <row r="66" spans="1:15" ht="16.5">
      <c r="A66" s="215" t="s">
        <v>217</v>
      </c>
      <c r="C66" s="214">
        <v>19227.099999999999</v>
      </c>
      <c r="D66" s="231">
        <f t="shared" si="1"/>
        <v>9.3461558147602375E-2</v>
      </c>
      <c r="E66" s="236">
        <v>89.04</v>
      </c>
      <c r="F66" s="231">
        <f t="shared" si="2"/>
        <v>-2.4967148488830304E-2</v>
      </c>
      <c r="G66" s="145">
        <v>162.19999999999999</v>
      </c>
      <c r="H66" s="216">
        <f t="shared" si="3"/>
        <v>-7.7690096042087875E-3</v>
      </c>
      <c r="I66" s="236">
        <v>135.99</v>
      </c>
      <c r="J66" s="231">
        <f t="shared" si="4"/>
        <v>-1.2059571376680012E-2</v>
      </c>
      <c r="K66" s="148">
        <v>160.55000000000001</v>
      </c>
      <c r="L66" s="231">
        <f t="shared" si="5"/>
        <v>4.982671810632322E-2</v>
      </c>
      <c r="M66" s="148">
        <v>57.67</v>
      </c>
      <c r="N66" s="216">
        <f t="shared" si="6"/>
        <v>-2.7159244264507443E-2</v>
      </c>
      <c r="O66" s="196"/>
    </row>
    <row r="67" spans="1:15" ht="16.5">
      <c r="A67" s="215" t="s">
        <v>218</v>
      </c>
      <c r="C67" s="214">
        <v>19231.3</v>
      </c>
      <c r="D67" s="231">
        <f t="shared" si="1"/>
        <v>2.184416786723542E-4</v>
      </c>
      <c r="E67" s="236">
        <v>89.14</v>
      </c>
      <c r="F67" s="231">
        <f t="shared" si="2"/>
        <v>1.123090745732247E-3</v>
      </c>
      <c r="G67" s="145">
        <v>164.12</v>
      </c>
      <c r="H67" s="216">
        <f t="shared" si="3"/>
        <v>1.1837237977805337E-2</v>
      </c>
      <c r="I67" s="236">
        <v>137.04</v>
      </c>
      <c r="J67" s="231">
        <f t="shared" si="4"/>
        <v>7.7211559673504571E-3</v>
      </c>
      <c r="K67" s="148">
        <v>161.72999999999999</v>
      </c>
      <c r="L67" s="231">
        <f t="shared" si="5"/>
        <v>7.349735284957859E-3</v>
      </c>
      <c r="M67" s="148">
        <v>58.54</v>
      </c>
      <c r="N67" s="216">
        <f t="shared" si="6"/>
        <v>1.5085833188833053E-2</v>
      </c>
      <c r="O67" s="196"/>
    </row>
    <row r="68" spans="1:15" ht="16.5">
      <c r="A68" s="215" t="s">
        <v>219</v>
      </c>
      <c r="C68" s="214">
        <v>18818.5</v>
      </c>
      <c r="D68" s="231">
        <f t="shared" si="1"/>
        <v>-2.1465007565791172E-2</v>
      </c>
      <c r="E68" s="236">
        <v>89.18</v>
      </c>
      <c r="F68" s="231">
        <f t="shared" si="2"/>
        <v>4.4873233116460298E-4</v>
      </c>
      <c r="G68" s="145">
        <v>166.62</v>
      </c>
      <c r="H68" s="216">
        <f t="shared" si="3"/>
        <v>1.523275651961975E-2</v>
      </c>
      <c r="I68" s="236">
        <v>138.83000000000001</v>
      </c>
      <c r="J68" s="231">
        <f t="shared" si="4"/>
        <v>1.306187974314077E-2</v>
      </c>
      <c r="K68" s="148">
        <v>161.1</v>
      </c>
      <c r="L68" s="231">
        <f t="shared" si="5"/>
        <v>-3.8953811908736258E-3</v>
      </c>
      <c r="M68" s="148">
        <v>58.17</v>
      </c>
      <c r="N68" s="216">
        <f t="shared" si="6"/>
        <v>-6.3204646395625952E-3</v>
      </c>
      <c r="O68" s="196"/>
    </row>
    <row r="69" spans="1:15" ht="16.5">
      <c r="A69" s="215" t="s">
        <v>220</v>
      </c>
      <c r="C69" s="214">
        <v>19291.7</v>
      </c>
      <c r="D69" s="231">
        <f t="shared" si="1"/>
        <v>2.5145468554879535E-2</v>
      </c>
      <c r="E69" s="236">
        <v>90.34</v>
      </c>
      <c r="F69" s="231">
        <f t="shared" si="2"/>
        <v>1.300740076250273E-2</v>
      </c>
      <c r="G69" s="145">
        <v>172.84</v>
      </c>
      <c r="H69" s="216">
        <f t="shared" si="3"/>
        <v>3.7330452526707525E-2</v>
      </c>
      <c r="I69" s="236">
        <v>140.27000000000001</v>
      </c>
      <c r="J69" s="231">
        <f t="shared" si="4"/>
        <v>1.0372397896708296E-2</v>
      </c>
      <c r="K69" s="148">
        <v>163.51</v>
      </c>
      <c r="L69" s="231">
        <f t="shared" si="5"/>
        <v>1.4959652389819889E-2</v>
      </c>
      <c r="M69" s="148">
        <v>57.22</v>
      </c>
      <c r="N69" s="216">
        <f t="shared" si="6"/>
        <v>-1.6331442324222123E-2</v>
      </c>
      <c r="O69" s="196"/>
    </row>
    <row r="70" spans="1:15" ht="16.5">
      <c r="A70" s="215" t="s">
        <v>221</v>
      </c>
      <c r="C70" s="214">
        <v>19731</v>
      </c>
      <c r="D70" s="231">
        <f t="shared" si="1"/>
        <v>2.2771450934857995E-2</v>
      </c>
      <c r="E70" s="236">
        <v>89.05</v>
      </c>
      <c r="F70" s="231">
        <f t="shared" si="2"/>
        <v>-1.4279388974983487E-2</v>
      </c>
      <c r="G70" s="145">
        <v>169.79</v>
      </c>
      <c r="H70" s="216">
        <f t="shared" si="3"/>
        <v>-1.7646378153205355E-2</v>
      </c>
      <c r="I70" s="236">
        <v>138.38999999999999</v>
      </c>
      <c r="J70" s="231">
        <f t="shared" si="4"/>
        <v>-1.3402723319312915E-2</v>
      </c>
      <c r="K70" s="148">
        <v>161.72999999999999</v>
      </c>
      <c r="L70" s="231">
        <f t="shared" si="5"/>
        <v>-1.0886184331233562E-2</v>
      </c>
      <c r="M70" s="148">
        <v>55.25</v>
      </c>
      <c r="N70" s="216">
        <f t="shared" si="6"/>
        <v>-3.4428521495980413E-2</v>
      </c>
      <c r="O70" s="196"/>
    </row>
    <row r="71" spans="1:15" ht="16.5">
      <c r="A71" s="215" t="s">
        <v>222</v>
      </c>
      <c r="C71" s="214">
        <v>19847.599999999999</v>
      </c>
      <c r="D71" s="231">
        <f t="shared" si="1"/>
        <v>5.9094825401651008E-3</v>
      </c>
      <c r="E71" s="236">
        <v>85.32</v>
      </c>
      <c r="F71" s="231">
        <f t="shared" si="2"/>
        <v>-4.1886580572711996E-2</v>
      </c>
      <c r="G71" s="145">
        <v>162.19999999999999</v>
      </c>
      <c r="H71" s="216">
        <f t="shared" si="3"/>
        <v>-4.4702279286177093E-2</v>
      </c>
      <c r="I71" s="236">
        <v>131.54</v>
      </c>
      <c r="J71" s="231">
        <f t="shared" si="4"/>
        <v>-4.9497796083531997E-2</v>
      </c>
      <c r="K71" s="148">
        <v>153.24</v>
      </c>
      <c r="L71" s="231">
        <f t="shared" si="5"/>
        <v>-5.2494898905583232E-2</v>
      </c>
      <c r="M71" s="148">
        <v>54.32</v>
      </c>
      <c r="N71" s="216">
        <f t="shared" si="6"/>
        <v>-1.6832579185520391E-2</v>
      </c>
      <c r="O71" s="196"/>
    </row>
    <row r="72" spans="1:15" ht="16.5">
      <c r="A72" s="215" t="s">
        <v>223</v>
      </c>
      <c r="C72" s="214">
        <v>19955.5</v>
      </c>
      <c r="D72" s="231">
        <f t="shared" si="1"/>
        <v>5.4364255627885605E-3</v>
      </c>
      <c r="E72" s="236">
        <v>85.63</v>
      </c>
      <c r="F72" s="231">
        <f t="shared" si="2"/>
        <v>3.6333802156587325E-3</v>
      </c>
      <c r="G72" s="145">
        <v>162.30000000000001</v>
      </c>
      <c r="H72" s="216">
        <f t="shared" si="3"/>
        <v>6.1652281134416675E-4</v>
      </c>
      <c r="I72" s="236">
        <v>129.74</v>
      </c>
      <c r="J72" s="231">
        <f t="shared" si="4"/>
        <v>-1.3684050478941612E-2</v>
      </c>
      <c r="K72" s="148">
        <v>152.29</v>
      </c>
      <c r="L72" s="231">
        <f t="shared" si="5"/>
        <v>-6.1994257374055062E-3</v>
      </c>
      <c r="M72" s="148">
        <v>54.88</v>
      </c>
      <c r="N72" s="216">
        <f t="shared" si="6"/>
        <v>1.0309278350515427E-2</v>
      </c>
      <c r="O72" s="196"/>
    </row>
    <row r="73" spans="1:15" ht="16.5">
      <c r="A73" s="215" t="s">
        <v>224</v>
      </c>
      <c r="C73" s="214">
        <v>19639.3</v>
      </c>
      <c r="D73" s="231">
        <f t="shared" si="1"/>
        <v>-1.5845255693919036E-2</v>
      </c>
      <c r="E73" s="236">
        <v>85.35</v>
      </c>
      <c r="F73" s="231">
        <f t="shared" si="2"/>
        <v>-3.2698820506832371E-3</v>
      </c>
      <c r="G73" s="145">
        <v>165.23</v>
      </c>
      <c r="H73" s="216">
        <f t="shared" si="3"/>
        <v>1.8052988293283834E-2</v>
      </c>
      <c r="I73" s="236">
        <v>128.21</v>
      </c>
      <c r="J73" s="231">
        <f t="shared" si="4"/>
        <v>-1.1792816402034889E-2</v>
      </c>
      <c r="K73" s="148">
        <v>150.78</v>
      </c>
      <c r="L73" s="231">
        <f t="shared" si="5"/>
        <v>-9.9152931906231201E-3</v>
      </c>
      <c r="M73" s="148">
        <v>56.93</v>
      </c>
      <c r="N73" s="216">
        <f t="shared" si="6"/>
        <v>3.7354227405247853E-2</v>
      </c>
      <c r="O73" s="196"/>
    </row>
    <row r="74" spans="1:15" ht="16.5">
      <c r="A74" s="215" t="s">
        <v>225</v>
      </c>
      <c r="C74" s="214">
        <v>19839.400000000001</v>
      </c>
      <c r="D74" s="231">
        <f t="shared" si="1"/>
        <v>1.0188754181666537E-2</v>
      </c>
      <c r="E74" s="236">
        <v>85.33</v>
      </c>
      <c r="F74" s="231">
        <f t="shared" si="2"/>
        <v>-2.3432923257171723E-4</v>
      </c>
      <c r="G74" s="145">
        <v>165.21</v>
      </c>
      <c r="H74" s="216">
        <f t="shared" si="3"/>
        <v>-1.2104339405660802E-4</v>
      </c>
      <c r="I74" s="236">
        <v>128.91</v>
      </c>
      <c r="J74" s="231">
        <f t="shared" si="4"/>
        <v>5.4597925278838666E-3</v>
      </c>
      <c r="K74" s="148">
        <v>148</v>
      </c>
      <c r="L74" s="231">
        <f t="shared" si="5"/>
        <v>-1.8437458548879126E-2</v>
      </c>
      <c r="M74" s="148">
        <v>57.12</v>
      </c>
      <c r="N74" s="216">
        <f t="shared" si="6"/>
        <v>3.3374319339538605E-3</v>
      </c>
      <c r="O74" s="196"/>
    </row>
    <row r="75" spans="1:15" ht="16.5">
      <c r="A75" s="215" t="s">
        <v>226</v>
      </c>
      <c r="C75" s="214">
        <v>19607.400000000001</v>
      </c>
      <c r="D75" s="231">
        <f t="shared" si="1"/>
        <v>-1.1693902033327652E-2</v>
      </c>
      <c r="E75" s="236">
        <v>86.91</v>
      </c>
      <c r="F75" s="231">
        <f t="shared" si="2"/>
        <v>1.8516348294855156E-2</v>
      </c>
      <c r="G75" s="145">
        <v>160.96</v>
      </c>
      <c r="H75" s="216">
        <f t="shared" si="3"/>
        <v>-2.57248350584105E-2</v>
      </c>
      <c r="I75" s="236">
        <v>125.74</v>
      </c>
      <c r="J75" s="231">
        <f t="shared" si="4"/>
        <v>-2.4590799782794215E-2</v>
      </c>
      <c r="K75" s="148">
        <v>142.11000000000001</v>
      </c>
      <c r="L75" s="231">
        <f t="shared" si="5"/>
        <v>-3.9797297297297196E-2</v>
      </c>
      <c r="M75" s="148">
        <v>55.99</v>
      </c>
      <c r="N75" s="216">
        <f t="shared" si="6"/>
        <v>-1.9782913165266036E-2</v>
      </c>
      <c r="O75" s="196"/>
    </row>
    <row r="76" spans="1:15" ht="16.5">
      <c r="A76" s="215" t="s">
        <v>227</v>
      </c>
      <c r="C76" s="214">
        <v>18857.2</v>
      </c>
      <c r="D76" s="231">
        <f t="shared" si="1"/>
        <v>-3.8261064700062297E-2</v>
      </c>
      <c r="E76" s="236">
        <v>86.32</v>
      </c>
      <c r="F76" s="231">
        <f t="shared" si="2"/>
        <v>-6.7886319180762156E-3</v>
      </c>
      <c r="G76" s="145">
        <v>158.31</v>
      </c>
      <c r="H76" s="216">
        <f t="shared" si="3"/>
        <v>-1.6463717693837032E-2</v>
      </c>
      <c r="I76" s="236">
        <v>124.3</v>
      </c>
      <c r="J76" s="231">
        <f t="shared" si="4"/>
        <v>-1.1452202958485702E-2</v>
      </c>
      <c r="K76" s="148">
        <v>142.31</v>
      </c>
      <c r="L76" s="231">
        <f t="shared" si="5"/>
        <v>1.4073604953908081E-3</v>
      </c>
      <c r="M76" s="148">
        <v>54.6</v>
      </c>
      <c r="N76" s="216">
        <f t="shared" si="6"/>
        <v>-2.4825861761028745E-2</v>
      </c>
      <c r="O76" s="196"/>
    </row>
    <row r="77" spans="1:15" ht="16.5">
      <c r="A77" s="215" t="s">
        <v>228</v>
      </c>
      <c r="C77" s="214">
        <v>18941.5</v>
      </c>
      <c r="D77" s="231">
        <f t="shared" si="1"/>
        <v>4.4704409986635607E-3</v>
      </c>
      <c r="E77" s="236">
        <v>85.87</v>
      </c>
      <c r="F77" s="231">
        <f t="shared" si="2"/>
        <v>-5.2131603336421639E-3</v>
      </c>
      <c r="G77" s="145">
        <v>157.47</v>
      </c>
      <c r="H77" s="216">
        <f t="shared" si="3"/>
        <v>-5.3060451013834387E-3</v>
      </c>
      <c r="I77" s="236">
        <v>124.1</v>
      </c>
      <c r="J77" s="231">
        <f t="shared" si="4"/>
        <v>-1.6090104585679832E-3</v>
      </c>
      <c r="K77" s="148">
        <v>140.68</v>
      </c>
      <c r="L77" s="231">
        <f t="shared" si="5"/>
        <v>-1.1453868315648874E-2</v>
      </c>
      <c r="M77" s="148">
        <v>55.08</v>
      </c>
      <c r="N77" s="216">
        <f t="shared" si="6"/>
        <v>8.79120879120876E-3</v>
      </c>
      <c r="O77" s="196"/>
    </row>
    <row r="78" spans="1:15" ht="16.5">
      <c r="A78" s="215" t="s">
        <v>229</v>
      </c>
      <c r="C78" s="214">
        <v>18953.5</v>
      </c>
      <c r="D78" s="231">
        <f t="shared" si="1"/>
        <v>6.3352955151385615E-4</v>
      </c>
      <c r="E78" s="236">
        <v>89.75</v>
      </c>
      <c r="F78" s="231">
        <f t="shared" si="2"/>
        <v>4.5184581343891805E-2</v>
      </c>
      <c r="G78" s="145">
        <v>164.25</v>
      </c>
      <c r="H78" s="216">
        <f t="shared" si="3"/>
        <v>4.3055820156220337E-2</v>
      </c>
      <c r="I78" s="236">
        <v>129.57</v>
      </c>
      <c r="J78" s="231">
        <f t="shared" si="4"/>
        <v>4.4077356970185333E-2</v>
      </c>
      <c r="K78" s="148">
        <v>142.94999999999999</v>
      </c>
      <c r="L78" s="231">
        <f t="shared" si="5"/>
        <v>1.6135911288029492E-2</v>
      </c>
      <c r="M78" s="148">
        <v>56.45</v>
      </c>
      <c r="N78" s="216">
        <f t="shared" si="6"/>
        <v>2.4872912127814173E-2</v>
      </c>
      <c r="O78" s="196"/>
    </row>
    <row r="79" spans="1:15" ht="16.5">
      <c r="A79" s="215" t="s">
        <v>230</v>
      </c>
      <c r="C79" s="214">
        <v>19009.599999999999</v>
      </c>
      <c r="D79" s="231">
        <f t="shared" si="1"/>
        <v>2.9598754847388609E-3</v>
      </c>
      <c r="E79" s="236">
        <v>91.08</v>
      </c>
      <c r="F79" s="231">
        <f t="shared" si="2"/>
        <v>1.4818941504178174E-2</v>
      </c>
      <c r="G79" s="145">
        <v>166.36</v>
      </c>
      <c r="H79" s="216">
        <f t="shared" si="3"/>
        <v>1.2846270928462689E-2</v>
      </c>
      <c r="I79" s="236">
        <v>130.12</v>
      </c>
      <c r="J79" s="231">
        <f t="shared" si="4"/>
        <v>4.2448097553446917E-3</v>
      </c>
      <c r="K79" s="148">
        <v>143.44999999999999</v>
      </c>
      <c r="L79" s="231">
        <f t="shared" si="5"/>
        <v>3.4977264777893424E-3</v>
      </c>
      <c r="M79" s="148">
        <v>56.92</v>
      </c>
      <c r="N79" s="216">
        <f t="shared" si="6"/>
        <v>8.3259521700620454E-3</v>
      </c>
      <c r="O79" s="196"/>
    </row>
    <row r="80" spans="1:15" ht="16.5">
      <c r="A80" s="215" t="s">
        <v>231</v>
      </c>
      <c r="C80" s="214">
        <v>18860.599999999999</v>
      </c>
      <c r="D80" s="231">
        <f t="shared" si="1"/>
        <v>-7.8381449372948442E-3</v>
      </c>
      <c r="E80" s="236">
        <v>91.46</v>
      </c>
      <c r="F80" s="231">
        <f t="shared" si="2"/>
        <v>4.1721563460692668E-3</v>
      </c>
      <c r="G80" s="145">
        <v>167.35</v>
      </c>
      <c r="H80" s="216">
        <f t="shared" si="3"/>
        <v>5.9509497475354056E-3</v>
      </c>
      <c r="I80" s="236">
        <v>130</v>
      </c>
      <c r="J80" s="231">
        <f t="shared" si="4"/>
        <v>-9.2222563787280887E-4</v>
      </c>
      <c r="K80" s="148">
        <v>142.75</v>
      </c>
      <c r="L80" s="231">
        <f t="shared" si="5"/>
        <v>-4.87974904147781E-3</v>
      </c>
      <c r="M80" s="148">
        <v>56.87</v>
      </c>
      <c r="N80" s="216">
        <f t="shared" si="6"/>
        <v>-8.7842586085740137E-4</v>
      </c>
      <c r="O80" s="196"/>
    </row>
    <row r="81" spans="1:15" ht="16.5">
      <c r="A81" s="215" t="s">
        <v>232</v>
      </c>
      <c r="C81" s="214">
        <v>19699.2</v>
      </c>
      <c r="D81" s="231">
        <f t="shared" si="1"/>
        <v>4.4463060560109513E-2</v>
      </c>
      <c r="E81" s="236">
        <v>92.3</v>
      </c>
      <c r="F81" s="231">
        <f t="shared" si="2"/>
        <v>9.184342882134322E-3</v>
      </c>
      <c r="G81" s="145">
        <v>169.93</v>
      </c>
      <c r="H81" s="216">
        <f t="shared" si="3"/>
        <v>1.5416791156259491E-2</v>
      </c>
      <c r="I81" s="236">
        <v>130.03</v>
      </c>
      <c r="J81" s="231">
        <f t="shared" si="4"/>
        <v>2.3076923076925659E-4</v>
      </c>
      <c r="K81" s="148">
        <v>145.04</v>
      </c>
      <c r="L81" s="231">
        <f t="shared" si="5"/>
        <v>1.6042031523642697E-2</v>
      </c>
      <c r="M81" s="148">
        <v>58.37</v>
      </c>
      <c r="N81" s="216">
        <f t="shared" si="6"/>
        <v>2.6375945138034096E-2</v>
      </c>
      <c r="O81" s="196"/>
    </row>
    <row r="82" spans="1:15" ht="16.5">
      <c r="A82" s="215" t="s">
        <v>233</v>
      </c>
      <c r="C82" s="214">
        <v>20083.900000000001</v>
      </c>
      <c r="D82" s="231">
        <f t="shared" si="1"/>
        <v>1.9528711825860912E-2</v>
      </c>
      <c r="E82" s="236">
        <v>93.71</v>
      </c>
      <c r="F82" s="231">
        <f t="shared" si="2"/>
        <v>1.5276273022751807E-2</v>
      </c>
      <c r="G82" s="145">
        <v>173.46</v>
      </c>
      <c r="H82" s="216">
        <f t="shared" si="3"/>
        <v>2.0773259577473002E-2</v>
      </c>
      <c r="I82" s="236">
        <v>134.5</v>
      </c>
      <c r="J82" s="231">
        <f t="shared" si="4"/>
        <v>3.4376682304083639E-2</v>
      </c>
      <c r="K82" s="148">
        <v>148.38</v>
      </c>
      <c r="L82" s="231">
        <f t="shared" si="5"/>
        <v>2.3028130170987371E-2</v>
      </c>
      <c r="M82" s="148">
        <v>58.85</v>
      </c>
      <c r="N82" s="216">
        <f t="shared" si="6"/>
        <v>8.2234024327565436E-3</v>
      </c>
      <c r="O82" s="196"/>
    </row>
    <row r="83" spans="1:15" ht="16.5">
      <c r="A83" s="215" t="s">
        <v>234</v>
      </c>
      <c r="C83" s="214">
        <v>20123.5</v>
      </c>
      <c r="D83" s="231">
        <f t="shared" si="1"/>
        <v>1.9717285985290101E-3</v>
      </c>
      <c r="E83" s="236">
        <v>94.93</v>
      </c>
      <c r="F83" s="231">
        <f t="shared" si="2"/>
        <v>1.3018888058905276E-2</v>
      </c>
      <c r="G83" s="145">
        <v>176.9</v>
      </c>
      <c r="H83" s="216">
        <f t="shared" si="3"/>
        <v>1.9831661478150631E-2</v>
      </c>
      <c r="I83" s="236">
        <v>137.87</v>
      </c>
      <c r="J83" s="231">
        <f t="shared" si="4"/>
        <v>2.5055762081784394E-2</v>
      </c>
      <c r="K83" s="148">
        <v>153.16</v>
      </c>
      <c r="L83" s="231">
        <f t="shared" si="5"/>
        <v>3.2214584175764838E-2</v>
      </c>
      <c r="M83" s="148">
        <v>58.68</v>
      </c>
      <c r="N83" s="216">
        <f t="shared" si="6"/>
        <v>-2.8887000849617817E-3</v>
      </c>
      <c r="O83" s="196"/>
    </row>
    <row r="84" spans="1:15" ht="16.5">
      <c r="A84" s="215" t="s">
        <v>235</v>
      </c>
      <c r="C84" s="214">
        <v>19566</v>
      </c>
      <c r="D84" s="231">
        <f t="shared" si="1"/>
        <v>-2.7703928243098863E-2</v>
      </c>
      <c r="E84" s="236">
        <v>92.86</v>
      </c>
      <c r="F84" s="231">
        <f t="shared" si="2"/>
        <v>-2.1805540924892064E-2</v>
      </c>
      <c r="G84" s="145">
        <v>168.83</v>
      </c>
      <c r="H84" s="216">
        <f t="shared" si="3"/>
        <v>-4.5618993781797568E-2</v>
      </c>
      <c r="I84" s="236">
        <v>133.44</v>
      </c>
      <c r="J84" s="231">
        <f t="shared" si="4"/>
        <v>-3.2131718285341337E-2</v>
      </c>
      <c r="K84" s="148">
        <v>151.81</v>
      </c>
      <c r="L84" s="231">
        <f t="shared" si="5"/>
        <v>-8.814311830765198E-3</v>
      </c>
      <c r="M84" s="148">
        <v>56.98</v>
      </c>
      <c r="N84" s="216">
        <f t="shared" si="6"/>
        <v>-2.8970688479890927E-2</v>
      </c>
      <c r="O84" s="196"/>
    </row>
    <row r="85" spans="1:15" ht="16.5">
      <c r="A85" s="215" t="s">
        <v>236</v>
      </c>
      <c r="C85" s="214">
        <v>19609.5</v>
      </c>
      <c r="D85" s="231">
        <f t="shared" si="1"/>
        <v>2.2232444035572563E-3</v>
      </c>
      <c r="E85" s="236">
        <v>90.79</v>
      </c>
      <c r="F85" s="231">
        <f t="shared" si="2"/>
        <v>-2.2291621796252326E-2</v>
      </c>
      <c r="G85" s="145">
        <v>165.57</v>
      </c>
      <c r="H85" s="216">
        <f t="shared" si="3"/>
        <v>-1.9309364449446309E-2</v>
      </c>
      <c r="I85" s="236">
        <v>130.84</v>
      </c>
      <c r="J85" s="231">
        <f t="shared" si="4"/>
        <v>-1.9484412470023971E-2</v>
      </c>
      <c r="K85" s="148">
        <v>150.76</v>
      </c>
      <c r="L85" s="231">
        <f t="shared" si="5"/>
        <v>-6.9165404123576746E-3</v>
      </c>
      <c r="M85" s="148">
        <v>56.87</v>
      </c>
      <c r="N85" s="216">
        <f t="shared" si="6"/>
        <v>-1.9305019305019266E-3</v>
      </c>
      <c r="O85" s="196"/>
    </row>
    <row r="86" spans="1:15" ht="16.5">
      <c r="A86" s="215" t="s">
        <v>237</v>
      </c>
      <c r="C86" s="214">
        <v>19196.400000000001</v>
      </c>
      <c r="D86" s="231">
        <f t="shared" si="1"/>
        <v>-2.1066319895968744E-2</v>
      </c>
      <c r="E86" s="236">
        <v>90.04</v>
      </c>
      <c r="F86" s="231">
        <f t="shared" si="2"/>
        <v>-8.2608216763960796E-3</v>
      </c>
      <c r="G86" s="145">
        <v>159.81</v>
      </c>
      <c r="H86" s="216">
        <f t="shared" si="3"/>
        <v>-3.4788911034607684E-2</v>
      </c>
      <c r="I86" s="236">
        <v>130.85</v>
      </c>
      <c r="J86" s="231">
        <f t="shared" si="4"/>
        <v>7.642922653605666E-5</v>
      </c>
      <c r="K86" s="148">
        <v>155.41</v>
      </c>
      <c r="L86" s="231">
        <f t="shared" si="5"/>
        <v>3.0843725126028065E-2</v>
      </c>
      <c r="M86" s="148">
        <v>58.53</v>
      </c>
      <c r="N86" s="216">
        <f t="shared" si="6"/>
        <v>2.9189379286091111E-2</v>
      </c>
      <c r="O86" s="196"/>
    </row>
    <row r="87" spans="1:15" ht="16.5">
      <c r="A87" s="215" t="s">
        <v>238</v>
      </c>
      <c r="C87" s="214">
        <v>19236.599999999999</v>
      </c>
      <c r="D87" s="231">
        <f t="shared" si="1"/>
        <v>2.0941426517471218E-3</v>
      </c>
      <c r="E87" s="236">
        <v>93.08</v>
      </c>
      <c r="F87" s="231">
        <f t="shared" si="2"/>
        <v>3.3762772101288308E-2</v>
      </c>
      <c r="G87" s="145">
        <v>164.99</v>
      </c>
      <c r="H87" s="216">
        <f t="shared" si="3"/>
        <v>3.2413491020586882E-2</v>
      </c>
      <c r="I87" s="236">
        <v>133.54</v>
      </c>
      <c r="J87" s="231">
        <f t="shared" si="4"/>
        <v>2.0557890714558713E-2</v>
      </c>
      <c r="K87" s="148">
        <v>159.03</v>
      </c>
      <c r="L87" s="231">
        <f t="shared" si="5"/>
        <v>2.3293224374235866E-2</v>
      </c>
      <c r="M87" s="148">
        <v>60.75</v>
      </c>
      <c r="N87" s="216">
        <f t="shared" si="6"/>
        <v>3.7929267042542181E-2</v>
      </c>
      <c r="O87" s="196"/>
    </row>
    <row r="88" spans="1:15" ht="16.5">
      <c r="A88" s="215" t="s">
        <v>239</v>
      </c>
      <c r="C88" s="214">
        <v>19438.8</v>
      </c>
      <c r="D88" s="231">
        <f t="shared" si="1"/>
        <v>1.0511213000218289E-2</v>
      </c>
      <c r="E88" s="236">
        <v>95.15</v>
      </c>
      <c r="F88" s="231">
        <f t="shared" si="2"/>
        <v>2.2238934250107478E-2</v>
      </c>
      <c r="G88" s="145">
        <v>168.04</v>
      </c>
      <c r="H88" s="216">
        <f t="shared" si="3"/>
        <v>1.848596884659659E-2</v>
      </c>
      <c r="I88" s="236">
        <v>135.33000000000001</v>
      </c>
      <c r="J88" s="231">
        <f t="shared" si="4"/>
        <v>1.3404223453646891E-2</v>
      </c>
      <c r="K88" s="148">
        <v>160.61000000000001</v>
      </c>
      <c r="L88" s="231">
        <f t="shared" si="5"/>
        <v>9.9352323460983882E-3</v>
      </c>
      <c r="M88" s="148">
        <v>60.17</v>
      </c>
      <c r="N88" s="216">
        <f t="shared" si="6"/>
        <v>-9.5473251028805883E-3</v>
      </c>
      <c r="O88" s="196"/>
    </row>
    <row r="89" spans="1:15" ht="16.5">
      <c r="A89" s="215" t="s">
        <v>240</v>
      </c>
      <c r="C89" s="214">
        <v>19669.8</v>
      </c>
      <c r="D89" s="231">
        <f t="shared" si="1"/>
        <v>1.1883449595654128E-2</v>
      </c>
      <c r="E89" s="236">
        <v>98.76</v>
      </c>
      <c r="F89" s="231">
        <f t="shared" si="2"/>
        <v>3.7940094587493478E-2</v>
      </c>
      <c r="G89" s="145">
        <v>168.46</v>
      </c>
      <c r="H89" s="216">
        <f t="shared" si="3"/>
        <v>2.4994049035944599E-3</v>
      </c>
      <c r="I89" s="236">
        <v>142.13999999999999</v>
      </c>
      <c r="J89" s="231">
        <f t="shared" si="4"/>
        <v>5.0321436488583338E-2</v>
      </c>
      <c r="K89" s="148">
        <v>159</v>
      </c>
      <c r="L89" s="231">
        <f t="shared" si="5"/>
        <v>-1.0024282423261366E-2</v>
      </c>
      <c r="M89" s="148">
        <v>62.4</v>
      </c>
      <c r="N89" s="216">
        <f t="shared" si="6"/>
        <v>3.7061658633870564E-2</v>
      </c>
      <c r="O89" s="196"/>
    </row>
    <row r="90" spans="1:15" ht="16.5">
      <c r="A90" s="215" t="s">
        <v>241</v>
      </c>
      <c r="C90" s="214">
        <v>19367.3</v>
      </c>
      <c r="D90" s="231">
        <f t="shared" si="1"/>
        <v>-1.537890573366274E-2</v>
      </c>
      <c r="E90" s="236">
        <v>97.85</v>
      </c>
      <c r="F90" s="231">
        <f t="shared" si="2"/>
        <v>-9.2142567841232426E-3</v>
      </c>
      <c r="G90" s="145">
        <v>166.27</v>
      </c>
      <c r="H90" s="216">
        <f t="shared" si="3"/>
        <v>-1.3000118722545362E-2</v>
      </c>
      <c r="I90" s="236">
        <v>140.51</v>
      </c>
      <c r="J90" s="231">
        <f t="shared" si="4"/>
        <v>-1.1467567187280148E-2</v>
      </c>
      <c r="K90" s="148">
        <v>158.94999999999999</v>
      </c>
      <c r="L90" s="231">
        <f t="shared" si="5"/>
        <v>-3.1446540880508689E-4</v>
      </c>
      <c r="M90" s="148">
        <v>62.2</v>
      </c>
      <c r="N90" s="216">
        <f t="shared" si="6"/>
        <v>-3.2051282051280827E-3</v>
      </c>
      <c r="O90" s="196"/>
    </row>
    <row r="91" spans="1:15" ht="16.5">
      <c r="A91" s="215" t="s">
        <v>242</v>
      </c>
      <c r="C91" s="214">
        <v>19317.2</v>
      </c>
      <c r="D91" s="231">
        <f t="shared" si="1"/>
        <v>-2.5868345097147527E-3</v>
      </c>
      <c r="E91" s="236">
        <v>98.44</v>
      </c>
      <c r="F91" s="231">
        <f t="shared" si="2"/>
        <v>6.0296371997956566E-3</v>
      </c>
      <c r="G91" s="145">
        <v>168.26</v>
      </c>
      <c r="H91" s="216">
        <f t="shared" si="3"/>
        <v>1.1968484994286266E-2</v>
      </c>
      <c r="I91" s="236">
        <v>138.56</v>
      </c>
      <c r="J91" s="231">
        <f t="shared" si="4"/>
        <v>-1.387801579958714E-2</v>
      </c>
      <c r="K91" s="148">
        <v>158.77000000000001</v>
      </c>
      <c r="L91" s="231">
        <f t="shared" si="5"/>
        <v>-1.1324315822583975E-3</v>
      </c>
      <c r="M91" s="148">
        <v>62.17</v>
      </c>
      <c r="N91" s="216">
        <f t="shared" si="6"/>
        <v>-4.8231511254026582E-4</v>
      </c>
      <c r="O91" s="196"/>
    </row>
    <row r="92" spans="1:15" ht="16.5">
      <c r="A92" s="215" t="s">
        <v>243</v>
      </c>
      <c r="C92" s="214">
        <v>19363.2</v>
      </c>
      <c r="D92" s="231">
        <f t="shared" si="1"/>
        <v>2.3812974965315981E-3</v>
      </c>
      <c r="E92" s="236">
        <v>102.26</v>
      </c>
      <c r="F92" s="231">
        <f t="shared" si="2"/>
        <v>3.8805363673303672E-2</v>
      </c>
      <c r="G92" s="145">
        <v>171.36</v>
      </c>
      <c r="H92" s="216">
        <f t="shared" si="3"/>
        <v>1.8423867823606388E-2</v>
      </c>
      <c r="I92" s="236">
        <v>140.07</v>
      </c>
      <c r="J92" s="231">
        <f t="shared" si="4"/>
        <v>1.0897806004618982E-2</v>
      </c>
      <c r="K92" s="148">
        <v>160.02000000000001</v>
      </c>
      <c r="L92" s="231">
        <f t="shared" si="5"/>
        <v>7.8730238710083E-3</v>
      </c>
      <c r="M92" s="148">
        <v>64.42</v>
      </c>
      <c r="N92" s="216">
        <f t="shared" si="6"/>
        <v>3.6191088949654171E-2</v>
      </c>
      <c r="O92" s="196"/>
    </row>
    <row r="93" spans="1:15" ht="16.5">
      <c r="A93" s="215" t="s">
        <v>244</v>
      </c>
      <c r="C93" s="214">
        <v>19121.5</v>
      </c>
      <c r="D93" s="231">
        <f t="shared" si="1"/>
        <v>-1.2482440918856419E-2</v>
      </c>
      <c r="E93" s="236">
        <v>101.87</v>
      </c>
      <c r="F93" s="231">
        <f t="shared" si="2"/>
        <v>-3.8138079405437564E-3</v>
      </c>
      <c r="G93" s="145">
        <v>170.38</v>
      </c>
      <c r="H93" s="216">
        <f t="shared" si="3"/>
        <v>-5.7189542483661038E-3</v>
      </c>
      <c r="I93" s="236">
        <v>139.25</v>
      </c>
      <c r="J93" s="231">
        <f t="shared" si="4"/>
        <v>-5.8542157492681435E-3</v>
      </c>
      <c r="K93" s="148">
        <v>163.55000000000001</v>
      </c>
      <c r="L93" s="231">
        <f t="shared" si="5"/>
        <v>2.2059742532183568E-2</v>
      </c>
      <c r="M93" s="148">
        <v>64.17</v>
      </c>
      <c r="N93" s="216">
        <f t="shared" si="6"/>
        <v>-3.8807823657249774E-3</v>
      </c>
      <c r="O93" s="196"/>
    </row>
    <row r="94" spans="1:15" ht="16.5">
      <c r="A94" s="215" t="s">
        <v>245</v>
      </c>
      <c r="C94" s="214">
        <v>18513.099999999999</v>
      </c>
      <c r="D94" s="231">
        <f t="shared" si="1"/>
        <v>-3.1817587532358971E-2</v>
      </c>
      <c r="E94" s="236">
        <v>104.83</v>
      </c>
      <c r="F94" s="231">
        <f t="shared" si="2"/>
        <v>2.9056640816727208E-2</v>
      </c>
      <c r="G94" s="145">
        <v>172.44</v>
      </c>
      <c r="H94" s="216">
        <f t="shared" si="3"/>
        <v>1.2090620964902099E-2</v>
      </c>
      <c r="I94" s="236">
        <v>141.5</v>
      </c>
      <c r="J94" s="231">
        <f t="shared" si="4"/>
        <v>1.6157989228007263E-2</v>
      </c>
      <c r="K94" s="148">
        <v>162.71</v>
      </c>
      <c r="L94" s="231">
        <f t="shared" si="5"/>
        <v>-5.1360440232345317E-3</v>
      </c>
      <c r="M94" s="148">
        <v>64.349999999999994</v>
      </c>
      <c r="N94" s="216">
        <f t="shared" si="6"/>
        <v>2.8050490883588797E-3</v>
      </c>
      <c r="O94" s="196"/>
    </row>
    <row r="95" spans="1:15" ht="16.5">
      <c r="A95" s="215" t="s">
        <v>246</v>
      </c>
      <c r="C95" s="214">
        <v>18639.8</v>
      </c>
      <c r="D95" s="231">
        <f t="shared" si="1"/>
        <v>6.8438024966106514E-3</v>
      </c>
      <c r="E95" s="236">
        <v>106.35</v>
      </c>
      <c r="F95" s="231">
        <f t="shared" si="2"/>
        <v>1.4499666126108979E-2</v>
      </c>
      <c r="G95" s="145">
        <v>170.99</v>
      </c>
      <c r="H95" s="216">
        <f t="shared" si="3"/>
        <v>-8.4087218742749936E-3</v>
      </c>
      <c r="I95" s="236">
        <v>145</v>
      </c>
      <c r="J95" s="231">
        <f t="shared" si="4"/>
        <v>2.4734982332155431E-2</v>
      </c>
      <c r="K95" s="148">
        <v>164.12</v>
      </c>
      <c r="L95" s="231">
        <f t="shared" si="5"/>
        <v>8.6657242947574264E-3</v>
      </c>
      <c r="M95" s="148">
        <v>64.69</v>
      </c>
      <c r="N95" s="216">
        <f t="shared" si="6"/>
        <v>5.2836052836053859E-3</v>
      </c>
      <c r="O95" s="196"/>
    </row>
    <row r="96" spans="1:15" ht="16.5">
      <c r="A96" s="215" t="s">
        <v>247</v>
      </c>
      <c r="C96" s="214">
        <v>18985.2</v>
      </c>
      <c r="D96" s="231">
        <f t="shared" si="1"/>
        <v>1.853024174079132E-2</v>
      </c>
      <c r="E96" s="236">
        <v>104.05</v>
      </c>
      <c r="F96" s="231">
        <f t="shared" si="2"/>
        <v>-2.1626704278326248E-2</v>
      </c>
      <c r="G96" s="145">
        <v>168.58</v>
      </c>
      <c r="H96" s="216">
        <f t="shared" si="3"/>
        <v>-1.4094391484882118E-2</v>
      </c>
      <c r="I96" s="236">
        <v>142.68</v>
      </c>
      <c r="J96" s="231">
        <f t="shared" si="4"/>
        <v>-1.5999999999999903E-2</v>
      </c>
      <c r="K96" s="148">
        <v>162.16</v>
      </c>
      <c r="L96" s="231">
        <f t="shared" si="5"/>
        <v>-1.1942481111381964E-2</v>
      </c>
      <c r="M96" s="148">
        <v>63.37</v>
      </c>
      <c r="N96" s="216">
        <f t="shared" si="6"/>
        <v>-2.040500850208693E-2</v>
      </c>
      <c r="O96" s="196"/>
    </row>
    <row r="97" spans="1:15" ht="16.5">
      <c r="A97" s="215" t="s">
        <v>248</v>
      </c>
      <c r="C97" s="214">
        <v>18753.8</v>
      </c>
      <c r="D97" s="231">
        <f t="shared" si="1"/>
        <v>-1.2188441522870574E-2</v>
      </c>
      <c r="E97" s="236">
        <v>101.58</v>
      </c>
      <c r="F97" s="231">
        <f t="shared" si="2"/>
        <v>-2.3738587217683849E-2</v>
      </c>
      <c r="G97" s="145">
        <v>168.11</v>
      </c>
      <c r="H97" s="216">
        <f t="shared" si="3"/>
        <v>-2.7879938308221774E-3</v>
      </c>
      <c r="I97" s="236">
        <v>142.61000000000001</v>
      </c>
      <c r="J97" s="231">
        <f t="shared" si="4"/>
        <v>-4.9060835435932315E-4</v>
      </c>
      <c r="K97" s="148">
        <v>159.13</v>
      </c>
      <c r="L97" s="231">
        <f t="shared" si="5"/>
        <v>-1.8685249136655147E-2</v>
      </c>
      <c r="M97" s="148">
        <v>61.03</v>
      </c>
      <c r="N97" s="216">
        <f t="shared" si="6"/>
        <v>-3.6925990216190585E-2</v>
      </c>
      <c r="O97" s="196"/>
    </row>
    <row r="98" spans="1:15" ht="16.5">
      <c r="A98" s="215" t="s">
        <v>249</v>
      </c>
      <c r="C98" s="214">
        <v>18177.3</v>
      </c>
      <c r="D98" s="231">
        <f t="shared" si="1"/>
        <v>-3.0740436604848043E-2</v>
      </c>
      <c r="E98" s="236">
        <v>99.75</v>
      </c>
      <c r="F98" s="231">
        <f t="shared" si="2"/>
        <v>-1.8015357353809769E-2</v>
      </c>
      <c r="G98" s="145">
        <v>165.82</v>
      </c>
      <c r="H98" s="216">
        <f t="shared" si="3"/>
        <v>-1.3622033192552618E-2</v>
      </c>
      <c r="I98" s="236">
        <v>137.52000000000001</v>
      </c>
      <c r="J98" s="231">
        <f t="shared" si="4"/>
        <v>-3.5691746721828732E-2</v>
      </c>
      <c r="K98" s="148">
        <v>156.44</v>
      </c>
      <c r="L98" s="231">
        <f t="shared" si="5"/>
        <v>-1.6904417771633207E-2</v>
      </c>
      <c r="M98" s="148">
        <v>60.06</v>
      </c>
      <c r="N98" s="216">
        <f t="shared" si="6"/>
        <v>-1.5893822710142502E-2</v>
      </c>
      <c r="O98" s="196"/>
    </row>
    <row r="99" spans="1:15" ht="16.5">
      <c r="A99" s="215" t="s">
        <v>250</v>
      </c>
      <c r="C99" s="214">
        <v>17561.5</v>
      </c>
      <c r="D99" s="231">
        <f t="shared" si="1"/>
        <v>-3.3877418538506787E-2</v>
      </c>
      <c r="E99" s="236">
        <v>99.95</v>
      </c>
      <c r="F99" s="231">
        <f t="shared" si="2"/>
        <v>2.0050125313284539E-3</v>
      </c>
      <c r="G99" s="145">
        <v>166.67</v>
      </c>
      <c r="H99" s="216">
        <f t="shared" si="3"/>
        <v>5.1260402846460273E-3</v>
      </c>
      <c r="I99" s="236">
        <v>136.86000000000001</v>
      </c>
      <c r="J99" s="231">
        <f t="shared" si="4"/>
        <v>-4.7993019197207776E-3</v>
      </c>
      <c r="K99" s="148">
        <v>158.03</v>
      </c>
      <c r="L99" s="231">
        <f t="shared" si="5"/>
        <v>1.0163641012528757E-2</v>
      </c>
      <c r="M99" s="148">
        <v>60.12</v>
      </c>
      <c r="N99" s="216">
        <f t="shared" si="6"/>
        <v>9.9900099900085415E-4</v>
      </c>
      <c r="O99" s="196"/>
    </row>
    <row r="100" spans="1:15" ht="16.5">
      <c r="A100" s="215" t="s">
        <v>251</v>
      </c>
      <c r="C100" s="214">
        <v>17991</v>
      </c>
      <c r="D100" s="231">
        <f t="shared" si="1"/>
        <v>2.4456908578424308E-2</v>
      </c>
      <c r="E100" s="236">
        <v>98.44</v>
      </c>
      <c r="F100" s="231">
        <f t="shared" si="2"/>
        <v>-1.5107553776888549E-2</v>
      </c>
      <c r="G100" s="145">
        <v>158.04</v>
      </c>
      <c r="H100" s="216">
        <f t="shared" si="3"/>
        <v>-5.1778964420711615E-2</v>
      </c>
      <c r="I100" s="236">
        <v>134.04</v>
      </c>
      <c r="J100" s="231">
        <f t="shared" si="4"/>
        <v>-2.0604997807979086E-2</v>
      </c>
      <c r="K100" s="148">
        <v>157.71</v>
      </c>
      <c r="L100" s="231">
        <f t="shared" si="5"/>
        <v>-2.0249319749414685E-3</v>
      </c>
      <c r="M100" s="148">
        <v>60.47</v>
      </c>
      <c r="N100" s="216">
        <f t="shared" si="6"/>
        <v>5.8216899534264677E-3</v>
      </c>
      <c r="O100" s="196"/>
    </row>
    <row r="101" spans="1:15" ht="16.5">
      <c r="A101" s="215" t="s">
        <v>252</v>
      </c>
      <c r="C101" s="214">
        <v>18289.7</v>
      </c>
      <c r="D101" s="231">
        <f t="shared" si="1"/>
        <v>1.6602745817353215E-2</v>
      </c>
      <c r="E101" s="236">
        <v>95.42</v>
      </c>
      <c r="F101" s="231">
        <f t="shared" si="2"/>
        <v>-3.0678585940674519E-2</v>
      </c>
      <c r="G101" s="145">
        <v>165.57</v>
      </c>
      <c r="H101" s="216">
        <f t="shared" si="3"/>
        <v>4.7646165527714501E-2</v>
      </c>
      <c r="I101" s="236">
        <v>134.66999999999999</v>
      </c>
      <c r="J101" s="231">
        <f t="shared" si="4"/>
        <v>4.7000895255147057E-3</v>
      </c>
      <c r="K101" s="148">
        <v>151.57</v>
      </c>
      <c r="L101" s="231">
        <f t="shared" si="5"/>
        <v>-3.8932217360979071E-2</v>
      </c>
      <c r="M101" s="148">
        <v>56.4</v>
      </c>
      <c r="N101" s="216">
        <f t="shared" si="6"/>
        <v>-6.7306102199437778E-2</v>
      </c>
      <c r="O101" s="196"/>
    </row>
    <row r="102" spans="1:15" ht="16.5">
      <c r="A102" s="215" t="s">
        <v>253</v>
      </c>
      <c r="C102" s="214">
        <v>18391.400000000001</v>
      </c>
      <c r="D102" s="231">
        <f t="shared" si="1"/>
        <v>5.5605067332979985E-3</v>
      </c>
      <c r="E102" s="236">
        <v>97.03</v>
      </c>
      <c r="F102" s="231">
        <f t="shared" si="2"/>
        <v>1.6872773003563157E-2</v>
      </c>
      <c r="G102" s="145">
        <v>164.46</v>
      </c>
      <c r="H102" s="216">
        <f t="shared" si="3"/>
        <v>-6.7041130639607927E-3</v>
      </c>
      <c r="I102" s="236">
        <v>140.96</v>
      </c>
      <c r="J102" s="231">
        <f t="shared" si="4"/>
        <v>4.6706764684042668E-2</v>
      </c>
      <c r="K102" s="148">
        <v>148.87</v>
      </c>
      <c r="L102" s="231">
        <f t="shared" si="5"/>
        <v>-1.7813551494358926E-2</v>
      </c>
      <c r="M102" s="148">
        <v>56.9</v>
      </c>
      <c r="N102" s="216">
        <f t="shared" si="6"/>
        <v>8.8652482269504507E-3</v>
      </c>
      <c r="O102" s="196"/>
    </row>
    <row r="103" spans="1:15" ht="16.5">
      <c r="A103" s="215" t="s">
        <v>254</v>
      </c>
      <c r="C103" s="214">
        <v>18022.7</v>
      </c>
      <c r="D103" s="231">
        <f t="shared" si="1"/>
        <v>-2.0047413464989061E-2</v>
      </c>
      <c r="E103" s="236">
        <v>96.49</v>
      </c>
      <c r="F103" s="231">
        <f t="shared" si="2"/>
        <v>-5.565289085849856E-3</v>
      </c>
      <c r="G103" s="145">
        <v>164.78</v>
      </c>
      <c r="H103" s="216">
        <f t="shared" si="3"/>
        <v>1.9457618873890414E-3</v>
      </c>
      <c r="I103" s="236">
        <v>138.31</v>
      </c>
      <c r="J103" s="231">
        <f t="shared" si="4"/>
        <v>-1.8799659477866104E-2</v>
      </c>
      <c r="K103" s="148">
        <v>145.18</v>
      </c>
      <c r="L103" s="231">
        <f t="shared" si="5"/>
        <v>-2.4786726674279502E-2</v>
      </c>
      <c r="M103" s="148">
        <v>55.53</v>
      </c>
      <c r="N103" s="216">
        <f t="shared" si="6"/>
        <v>-2.4077328646748608E-2</v>
      </c>
      <c r="O103" s="196"/>
    </row>
    <row r="104" spans="1:15" ht="16.5">
      <c r="A104" s="215" t="s">
        <v>255</v>
      </c>
      <c r="C104" s="214">
        <v>17928.8</v>
      </c>
      <c r="D104" s="231">
        <f t="shared" si="1"/>
        <v>-5.2100961565137993E-3</v>
      </c>
      <c r="E104" s="236">
        <v>95.02</v>
      </c>
      <c r="F104" s="231">
        <f t="shared" si="2"/>
        <v>-1.5234739351228099E-2</v>
      </c>
      <c r="G104" s="145">
        <v>161.71</v>
      </c>
      <c r="H104" s="216">
        <f t="shared" si="3"/>
        <v>-1.8630901808471823E-2</v>
      </c>
      <c r="I104" s="236">
        <v>136.66999999999999</v>
      </c>
      <c r="J104" s="231">
        <f t="shared" si="4"/>
        <v>-1.1857421733786566E-2</v>
      </c>
      <c r="K104" s="148">
        <v>144.5</v>
      </c>
      <c r="L104" s="231">
        <f t="shared" si="5"/>
        <v>-4.6838407494145251E-3</v>
      </c>
      <c r="M104" s="148">
        <v>54.4</v>
      </c>
      <c r="N104" s="216">
        <f t="shared" si="6"/>
        <v>-2.0349360705924746E-2</v>
      </c>
      <c r="O104" s="196"/>
    </row>
    <row r="105" spans="1:15" ht="16.5">
      <c r="A105" s="215" t="s">
        <v>256</v>
      </c>
      <c r="C105" s="214">
        <v>17940</v>
      </c>
      <c r="D105" s="231">
        <f t="shared" si="1"/>
        <v>6.2469323100278196E-4</v>
      </c>
      <c r="E105" s="236">
        <v>96.78</v>
      </c>
      <c r="F105" s="231">
        <f t="shared" si="2"/>
        <v>1.8522416333403458E-2</v>
      </c>
      <c r="G105" s="145">
        <v>164.58</v>
      </c>
      <c r="H105" s="216">
        <f t="shared" si="3"/>
        <v>1.7747820171912787E-2</v>
      </c>
      <c r="I105" s="236">
        <v>137</v>
      </c>
      <c r="J105" s="231">
        <f t="shared" si="4"/>
        <v>2.4145752542621413E-3</v>
      </c>
      <c r="K105" s="148">
        <v>144.84</v>
      </c>
      <c r="L105" s="231">
        <f t="shared" si="5"/>
        <v>2.3529411764706687E-3</v>
      </c>
      <c r="M105" s="148">
        <v>54.69</v>
      </c>
      <c r="N105" s="216">
        <f t="shared" si="6"/>
        <v>5.330882352941213E-3</v>
      </c>
      <c r="O105" s="196"/>
    </row>
    <row r="106" spans="1:15" ht="16.5">
      <c r="A106" s="215" t="s">
        <v>257</v>
      </c>
      <c r="C106" s="214">
        <v>17762</v>
      </c>
      <c r="D106" s="231">
        <f t="shared" si="1"/>
        <v>-9.9219620958751475E-3</v>
      </c>
      <c r="E106" s="236">
        <v>94.09</v>
      </c>
      <c r="F106" s="231">
        <f t="shared" si="2"/>
        <v>-2.7794998966728657E-2</v>
      </c>
      <c r="G106" s="145">
        <v>165.4</v>
      </c>
      <c r="H106" s="216">
        <f t="shared" si="3"/>
        <v>4.9823793899623769E-3</v>
      </c>
      <c r="I106" s="236">
        <v>138.21</v>
      </c>
      <c r="J106" s="231">
        <f t="shared" si="4"/>
        <v>8.8321167883211871E-3</v>
      </c>
      <c r="K106" s="148">
        <v>144.74</v>
      </c>
      <c r="L106" s="231">
        <f t="shared" si="5"/>
        <v>-6.9041701187511073E-4</v>
      </c>
      <c r="M106" s="148">
        <v>55.81</v>
      </c>
      <c r="N106" s="216">
        <f t="shared" si="6"/>
        <v>2.0479063814225817E-2</v>
      </c>
      <c r="O106" s="196"/>
    </row>
    <row r="107" spans="1:15" ht="16.5">
      <c r="A107" s="215" t="s">
        <v>258</v>
      </c>
      <c r="C107" s="214">
        <v>17713.5</v>
      </c>
      <c r="D107" s="231">
        <f t="shared" si="1"/>
        <v>-2.7305483616709703E-3</v>
      </c>
      <c r="E107" s="236">
        <v>92.86</v>
      </c>
      <c r="F107" s="231">
        <f t="shared" si="2"/>
        <v>-1.3072590073334056E-2</v>
      </c>
      <c r="G107" s="145">
        <v>164.22</v>
      </c>
      <c r="H107" s="216">
        <f t="shared" si="3"/>
        <v>-7.1342200725513782E-3</v>
      </c>
      <c r="I107" s="236">
        <v>133.43</v>
      </c>
      <c r="J107" s="231">
        <f t="shared" si="4"/>
        <v>-3.4585051732870298E-2</v>
      </c>
      <c r="K107" s="148">
        <v>143.88</v>
      </c>
      <c r="L107" s="231">
        <f t="shared" si="5"/>
        <v>-5.9416885449773416E-3</v>
      </c>
      <c r="M107" s="148">
        <v>55.06</v>
      </c>
      <c r="N107" s="216">
        <f t="shared" si="6"/>
        <v>-1.3438451890342207E-2</v>
      </c>
      <c r="O107" s="196"/>
    </row>
    <row r="108" spans="1:15" ht="16.5">
      <c r="A108" s="215" t="s">
        <v>259</v>
      </c>
      <c r="C108" s="214">
        <v>17843.400000000001</v>
      </c>
      <c r="D108" s="231">
        <f t="shared" ref="D108:D171" si="7">C108/C107-1</f>
        <v>7.3333897874503506E-3</v>
      </c>
      <c r="E108" s="236">
        <v>91.78</v>
      </c>
      <c r="F108" s="231">
        <f t="shared" ref="F108:F171" si="8">E108/E107-1</f>
        <v>-1.163041137195775E-2</v>
      </c>
      <c r="G108" s="145">
        <v>163.63</v>
      </c>
      <c r="H108" s="216">
        <f t="shared" ref="H108:H171" si="9">G108/G107-1</f>
        <v>-3.592741444403913E-3</v>
      </c>
      <c r="I108" s="236">
        <v>133.75</v>
      </c>
      <c r="J108" s="231">
        <f t="shared" ref="J108:J171" si="10">I108/I107-1</f>
        <v>2.3982612605859543E-3</v>
      </c>
      <c r="K108" s="148">
        <v>144.66</v>
      </c>
      <c r="L108" s="231">
        <f t="shared" ref="L108:L171" si="11">K108/K107-1</f>
        <v>5.4211843202669474E-3</v>
      </c>
      <c r="M108" s="148">
        <v>54.8</v>
      </c>
      <c r="N108" s="216">
        <f t="shared" ref="N108:N171" si="12">M108/M107-1</f>
        <v>-4.7221213221940728E-3</v>
      </c>
      <c r="O108" s="196"/>
    </row>
    <row r="109" spans="1:15" ht="16.5">
      <c r="A109" s="215" t="s">
        <v>260</v>
      </c>
      <c r="C109" s="214">
        <v>17780.099999999999</v>
      </c>
      <c r="D109" s="231">
        <f t="shared" si="7"/>
        <v>-3.5475301792260439E-3</v>
      </c>
      <c r="E109" s="236">
        <v>90.77</v>
      </c>
      <c r="F109" s="231">
        <f t="shared" si="8"/>
        <v>-1.1004576160383528E-2</v>
      </c>
      <c r="G109" s="145">
        <v>161.41999999999999</v>
      </c>
      <c r="H109" s="216">
        <f t="shared" si="9"/>
        <v>-1.3506080792030861E-2</v>
      </c>
      <c r="I109" s="236">
        <v>127.95</v>
      </c>
      <c r="J109" s="231">
        <f t="shared" si="10"/>
        <v>-4.3364485981308376E-2</v>
      </c>
      <c r="K109" s="148">
        <v>143.71</v>
      </c>
      <c r="L109" s="231">
        <f t="shared" si="11"/>
        <v>-6.5671229088897221E-3</v>
      </c>
      <c r="M109" s="148">
        <v>53.5</v>
      </c>
      <c r="N109" s="216">
        <f t="shared" si="12"/>
        <v>-2.3722627737226221E-2</v>
      </c>
      <c r="O109" s="196"/>
    </row>
    <row r="110" spans="1:15" ht="16.5">
      <c r="A110" s="215" t="s">
        <v>261</v>
      </c>
      <c r="C110" s="214">
        <v>18005.099999999999</v>
      </c>
      <c r="D110" s="231">
        <f t="shared" si="7"/>
        <v>1.2654596993267653E-2</v>
      </c>
      <c r="E110" s="236">
        <v>93.21</v>
      </c>
      <c r="F110" s="231">
        <f t="shared" si="8"/>
        <v>2.6881128126032827E-2</v>
      </c>
      <c r="G110" s="145">
        <v>165.15</v>
      </c>
      <c r="H110" s="216">
        <f t="shared" si="9"/>
        <v>2.3107421633007164E-2</v>
      </c>
      <c r="I110" s="236">
        <v>131.4</v>
      </c>
      <c r="J110" s="231">
        <f t="shared" si="10"/>
        <v>2.6963657678780839E-2</v>
      </c>
      <c r="K110" s="148">
        <v>146.76</v>
      </c>
      <c r="L110" s="231">
        <f t="shared" si="11"/>
        <v>2.1223296917402878E-2</v>
      </c>
      <c r="M110" s="148">
        <v>54.09</v>
      </c>
      <c r="N110" s="216">
        <f t="shared" si="12"/>
        <v>1.1028037383177702E-2</v>
      </c>
      <c r="O110" s="196"/>
    </row>
    <row r="111" spans="1:15" ht="16.5">
      <c r="A111" s="215" t="s">
        <v>262</v>
      </c>
      <c r="C111" s="214">
        <v>18128.7</v>
      </c>
      <c r="D111" s="231">
        <f t="shared" si="7"/>
        <v>6.8647216621957607E-3</v>
      </c>
      <c r="E111" s="236">
        <v>93.75</v>
      </c>
      <c r="F111" s="231">
        <f t="shared" si="8"/>
        <v>5.7933698101062525E-3</v>
      </c>
      <c r="G111" s="145">
        <v>163.95</v>
      </c>
      <c r="H111" s="216">
        <f t="shared" si="9"/>
        <v>-7.2661217075387086E-3</v>
      </c>
      <c r="I111" s="236">
        <v>133.6</v>
      </c>
      <c r="J111" s="231">
        <f t="shared" si="10"/>
        <v>1.6742770167427645E-2</v>
      </c>
      <c r="K111" s="148">
        <v>149.71</v>
      </c>
      <c r="L111" s="231">
        <f t="shared" si="11"/>
        <v>2.0100844916871141E-2</v>
      </c>
      <c r="M111" s="148">
        <v>53.81</v>
      </c>
      <c r="N111" s="216">
        <f t="shared" si="12"/>
        <v>-5.1765575892032123E-3</v>
      </c>
      <c r="O111" s="196"/>
    </row>
    <row r="112" spans="1:15" ht="16.5">
      <c r="A112" s="215" t="s">
        <v>263</v>
      </c>
      <c r="C112" s="214">
        <v>17797.900000000001</v>
      </c>
      <c r="D112" s="231">
        <f t="shared" si="7"/>
        <v>-1.824730951474729E-2</v>
      </c>
      <c r="E112" s="236">
        <v>92.45</v>
      </c>
      <c r="F112" s="231">
        <f t="shared" si="8"/>
        <v>-1.3866666666666583E-2</v>
      </c>
      <c r="G112" s="145">
        <v>163.26</v>
      </c>
      <c r="H112" s="216">
        <f t="shared" si="9"/>
        <v>-4.2086001829826358E-3</v>
      </c>
      <c r="I112" s="236">
        <v>134.77000000000001</v>
      </c>
      <c r="J112" s="231">
        <f t="shared" si="10"/>
        <v>8.7574850299403373E-3</v>
      </c>
      <c r="K112" s="148">
        <v>147.91</v>
      </c>
      <c r="L112" s="231">
        <f t="shared" si="11"/>
        <v>-1.2023244940217781E-2</v>
      </c>
      <c r="M112" s="148">
        <v>51.9</v>
      </c>
      <c r="N112" s="216">
        <f t="shared" si="12"/>
        <v>-3.5495261103884124E-2</v>
      </c>
      <c r="O112" s="196"/>
    </row>
    <row r="113" spans="1:15" ht="16.5">
      <c r="A113" s="215" t="s">
        <v>264</v>
      </c>
      <c r="C113" s="214">
        <v>17539.8</v>
      </c>
      <c r="D113" s="231">
        <f t="shared" si="7"/>
        <v>-1.4501710876002383E-2</v>
      </c>
      <c r="E113" s="236">
        <v>89.96</v>
      </c>
      <c r="F113" s="231">
        <f t="shared" si="8"/>
        <v>-2.6933477555435514E-2</v>
      </c>
      <c r="G113" s="145">
        <v>160.41</v>
      </c>
      <c r="H113" s="216">
        <f t="shared" si="9"/>
        <v>-1.745681734656368E-2</v>
      </c>
      <c r="I113" s="236">
        <v>134.16999999999999</v>
      </c>
      <c r="J113" s="231">
        <f t="shared" si="10"/>
        <v>-4.4520293833940627E-3</v>
      </c>
      <c r="K113" s="148">
        <v>144.53</v>
      </c>
      <c r="L113" s="231">
        <f t="shared" si="11"/>
        <v>-2.2851734162666504E-2</v>
      </c>
      <c r="M113" s="148">
        <v>51.34</v>
      </c>
      <c r="N113" s="216">
        <f t="shared" si="12"/>
        <v>-1.0789980732177185E-2</v>
      </c>
      <c r="O113" s="196"/>
    </row>
    <row r="114" spans="1:15" ht="16.5">
      <c r="A114" s="215" t="s">
        <v>265</v>
      </c>
      <c r="C114" s="214">
        <v>17452.400000000001</v>
      </c>
      <c r="D114" s="231">
        <f t="shared" si="7"/>
        <v>-4.9829530553369139E-3</v>
      </c>
      <c r="E114" s="236">
        <v>87.24</v>
      </c>
      <c r="F114" s="231">
        <f t="shared" si="8"/>
        <v>-3.0235660293463806E-2</v>
      </c>
      <c r="G114" s="145">
        <v>157.25</v>
      </c>
      <c r="H114" s="216">
        <f t="shared" si="9"/>
        <v>-1.969951998005115E-2</v>
      </c>
      <c r="I114" s="236">
        <v>126.84</v>
      </c>
      <c r="J114" s="231">
        <f t="shared" si="10"/>
        <v>-5.4632183051352645E-2</v>
      </c>
      <c r="K114" s="148">
        <v>145.94999999999999</v>
      </c>
      <c r="L114" s="231">
        <f t="shared" si="11"/>
        <v>9.8249498374038957E-3</v>
      </c>
      <c r="M114" s="148">
        <v>47.55</v>
      </c>
      <c r="N114" s="216">
        <f t="shared" si="12"/>
        <v>-7.3821581612777631E-2</v>
      </c>
      <c r="O114" s="196"/>
    </row>
    <row r="115" spans="1:15" ht="16.5">
      <c r="A115" s="215" t="s">
        <v>266</v>
      </c>
      <c r="C115" s="214">
        <v>17336.8</v>
      </c>
      <c r="D115" s="231">
        <f t="shared" si="7"/>
        <v>-6.623730833581698E-3</v>
      </c>
      <c r="E115" s="236">
        <v>85.91</v>
      </c>
      <c r="F115" s="231">
        <f t="shared" si="8"/>
        <v>-1.5245300320953725E-2</v>
      </c>
      <c r="G115" s="145">
        <v>153.52000000000001</v>
      </c>
      <c r="H115" s="216">
        <f t="shared" si="9"/>
        <v>-2.3720190779014216E-2</v>
      </c>
      <c r="I115" s="236">
        <v>124.46</v>
      </c>
      <c r="J115" s="231">
        <f t="shared" si="10"/>
        <v>-1.876379690949237E-2</v>
      </c>
      <c r="K115" s="148">
        <v>143.13</v>
      </c>
      <c r="L115" s="231">
        <f t="shared" si="11"/>
        <v>-1.9321685508735809E-2</v>
      </c>
      <c r="M115" s="148">
        <v>46.46</v>
      </c>
      <c r="N115" s="216">
        <f t="shared" si="12"/>
        <v>-2.2923238696109238E-2</v>
      </c>
      <c r="O115" s="196"/>
    </row>
    <row r="116" spans="1:15" ht="16.5">
      <c r="A116" s="215" t="s">
        <v>267</v>
      </c>
      <c r="C116" s="214">
        <v>17593.5</v>
      </c>
      <c r="D116" s="231">
        <f t="shared" si="7"/>
        <v>1.4806654053804769E-2</v>
      </c>
      <c r="E116" s="236">
        <v>85.68</v>
      </c>
      <c r="F116" s="231">
        <f t="shared" si="8"/>
        <v>-2.6772203468745648E-3</v>
      </c>
      <c r="G116" s="145">
        <v>154.74</v>
      </c>
      <c r="H116" s="216">
        <f t="shared" si="9"/>
        <v>7.946847316310679E-3</v>
      </c>
      <c r="I116" s="236">
        <v>123.84</v>
      </c>
      <c r="J116" s="231">
        <f t="shared" si="10"/>
        <v>-4.9815201671219445E-3</v>
      </c>
      <c r="K116" s="148">
        <v>147.15</v>
      </c>
      <c r="L116" s="231">
        <f t="shared" si="11"/>
        <v>2.8086355061831991E-2</v>
      </c>
      <c r="M116" s="148">
        <v>46.75</v>
      </c>
      <c r="N116" s="216">
        <f t="shared" si="12"/>
        <v>6.241928540680064E-3</v>
      </c>
      <c r="O116" s="196"/>
    </row>
    <row r="117" spans="1:15" ht="16.5">
      <c r="A117" s="215" t="s">
        <v>268</v>
      </c>
      <c r="C117" s="214">
        <v>17956.8</v>
      </c>
      <c r="D117" s="231">
        <f t="shared" si="7"/>
        <v>2.0649671753772747E-2</v>
      </c>
      <c r="E117" s="236">
        <v>87.15</v>
      </c>
      <c r="F117" s="231">
        <f t="shared" si="8"/>
        <v>1.7156862745097978E-2</v>
      </c>
      <c r="G117" s="145">
        <v>154.69</v>
      </c>
      <c r="H117" s="216">
        <f t="shared" si="9"/>
        <v>-3.2312265736078594E-4</v>
      </c>
      <c r="I117" s="236">
        <v>125.24</v>
      </c>
      <c r="J117" s="231">
        <f t="shared" si="10"/>
        <v>1.1304909560723386E-2</v>
      </c>
      <c r="K117" s="148">
        <v>151.61000000000001</v>
      </c>
      <c r="L117" s="231">
        <f t="shared" si="11"/>
        <v>3.0309208290859813E-2</v>
      </c>
      <c r="M117" s="148">
        <v>48.24</v>
      </c>
      <c r="N117" s="216">
        <f t="shared" si="12"/>
        <v>3.1871657754010796E-2</v>
      </c>
      <c r="O117" s="196"/>
    </row>
    <row r="118" spans="1:15" ht="16.5">
      <c r="A118" s="215" t="s">
        <v>269</v>
      </c>
      <c r="C118" s="214">
        <v>18059.2</v>
      </c>
      <c r="D118" s="231">
        <f t="shared" si="7"/>
        <v>5.7025750690546939E-3</v>
      </c>
      <c r="E118" s="236">
        <v>88.32</v>
      </c>
      <c r="F118" s="231">
        <f t="shared" si="8"/>
        <v>1.3425129087779597E-2</v>
      </c>
      <c r="G118" s="145">
        <v>159.72999999999999</v>
      </c>
      <c r="H118" s="216">
        <f t="shared" si="9"/>
        <v>3.2581291615489061E-2</v>
      </c>
      <c r="I118" s="236">
        <v>124.95</v>
      </c>
      <c r="J118" s="231">
        <f t="shared" si="10"/>
        <v>-2.3155541360586618E-3</v>
      </c>
      <c r="K118" s="148">
        <v>154.76</v>
      </c>
      <c r="L118" s="231">
        <f t="shared" si="11"/>
        <v>2.0776993602005023E-2</v>
      </c>
      <c r="M118" s="148">
        <v>49.53</v>
      </c>
      <c r="N118" s="216">
        <f t="shared" si="12"/>
        <v>2.6741293532338339E-2</v>
      </c>
      <c r="O118" s="196"/>
    </row>
    <row r="119" spans="1:15" ht="16.5">
      <c r="A119" s="215" t="s">
        <v>270</v>
      </c>
      <c r="C119" s="214">
        <v>17846.099999999999</v>
      </c>
      <c r="D119" s="231">
        <f t="shared" si="7"/>
        <v>-1.1800079737751545E-2</v>
      </c>
      <c r="E119" s="236">
        <v>87.92</v>
      </c>
      <c r="F119" s="231">
        <f t="shared" si="8"/>
        <v>-4.5289855072462304E-3</v>
      </c>
      <c r="G119" s="145">
        <v>161</v>
      </c>
      <c r="H119" s="216">
        <f t="shared" si="9"/>
        <v>7.9509171727289996E-3</v>
      </c>
      <c r="I119" s="236">
        <v>123.02</v>
      </c>
      <c r="J119" s="231">
        <f t="shared" si="10"/>
        <v>-1.5446178471388627E-2</v>
      </c>
      <c r="K119" s="148">
        <v>155.1</v>
      </c>
      <c r="L119" s="231">
        <f t="shared" si="11"/>
        <v>2.1969501163090488E-3</v>
      </c>
      <c r="M119" s="148">
        <v>48.42</v>
      </c>
      <c r="N119" s="216">
        <f t="shared" si="12"/>
        <v>-2.241066020593574E-2</v>
      </c>
      <c r="O119" s="196"/>
    </row>
    <row r="120" spans="1:15" ht="16.5">
      <c r="A120" s="215" t="s">
        <v>271</v>
      </c>
      <c r="C120" s="214">
        <v>17755</v>
      </c>
      <c r="D120" s="231">
        <f t="shared" si="7"/>
        <v>-5.1047567815936112E-3</v>
      </c>
      <c r="E120" s="236">
        <v>87.41</v>
      </c>
      <c r="F120" s="231">
        <f t="shared" si="8"/>
        <v>-5.8007279344859386E-3</v>
      </c>
      <c r="G120" s="145">
        <v>160.30000000000001</v>
      </c>
      <c r="H120" s="216">
        <f t="shared" si="9"/>
        <v>-4.3478260869564966E-3</v>
      </c>
      <c r="I120" s="236">
        <v>123.39</v>
      </c>
      <c r="J120" s="231">
        <f t="shared" si="10"/>
        <v>3.0076410339783255E-3</v>
      </c>
      <c r="K120" s="148">
        <v>157.1</v>
      </c>
      <c r="L120" s="231">
        <f t="shared" si="11"/>
        <v>1.2894906511927706E-2</v>
      </c>
      <c r="M120" s="148">
        <v>48.88</v>
      </c>
      <c r="N120" s="216">
        <f t="shared" si="12"/>
        <v>9.5002065262288493E-3</v>
      </c>
      <c r="O120" s="196"/>
    </row>
    <row r="121" spans="1:15" ht="16.5">
      <c r="A121" s="215" t="s">
        <v>272</v>
      </c>
      <c r="C121" s="214">
        <v>17613.5</v>
      </c>
      <c r="D121" s="231">
        <f t="shared" si="7"/>
        <v>-7.969586032103626E-3</v>
      </c>
      <c r="E121" s="236">
        <v>85.95</v>
      </c>
      <c r="F121" s="231">
        <f t="shared" si="8"/>
        <v>-1.6702894405674296E-2</v>
      </c>
      <c r="G121" s="145">
        <v>157.66999999999999</v>
      </c>
      <c r="H121" s="216">
        <f t="shared" si="9"/>
        <v>-1.6406737367436253E-2</v>
      </c>
      <c r="I121" s="236">
        <v>122.97</v>
      </c>
      <c r="J121" s="231">
        <f t="shared" si="10"/>
        <v>-3.4038414782396886E-3</v>
      </c>
      <c r="K121" s="148">
        <v>158.24</v>
      </c>
      <c r="L121" s="231">
        <f t="shared" si="11"/>
        <v>7.2565245066837925E-3</v>
      </c>
      <c r="M121" s="148">
        <v>48.87</v>
      </c>
      <c r="N121" s="216">
        <f t="shared" si="12"/>
        <v>-2.0458265139122744E-4</v>
      </c>
      <c r="O121" s="196"/>
    </row>
    <row r="122" spans="1:15" ht="16.5">
      <c r="A122" s="215" t="s">
        <v>273</v>
      </c>
      <c r="C122" s="214">
        <v>17530.599999999999</v>
      </c>
      <c r="D122" s="231">
        <f t="shared" si="7"/>
        <v>-4.7066170834871857E-3</v>
      </c>
      <c r="E122" s="236">
        <v>85.67</v>
      </c>
      <c r="F122" s="231">
        <f t="shared" si="8"/>
        <v>-3.2577079697498901E-3</v>
      </c>
      <c r="G122" s="145">
        <v>157.61000000000001</v>
      </c>
      <c r="H122" s="216">
        <f t="shared" si="9"/>
        <v>-3.805416375973758E-4</v>
      </c>
      <c r="I122" s="236">
        <v>120.49</v>
      </c>
      <c r="J122" s="231">
        <f t="shared" si="10"/>
        <v>-2.016752053346349E-2</v>
      </c>
      <c r="K122" s="148">
        <v>159.63999999999999</v>
      </c>
      <c r="L122" s="231">
        <f t="shared" si="11"/>
        <v>8.8473205257835197E-3</v>
      </c>
      <c r="M122" s="148">
        <v>48.66</v>
      </c>
      <c r="N122" s="216">
        <f t="shared" si="12"/>
        <v>-4.2971147943523524E-3</v>
      </c>
      <c r="O122" s="196"/>
    </row>
    <row r="123" spans="1:15" ht="16.5">
      <c r="A123" s="215" t="s">
        <v>274</v>
      </c>
      <c r="C123" s="214">
        <v>17278.099999999999</v>
      </c>
      <c r="D123" s="231">
        <f t="shared" si="7"/>
        <v>-1.4403386079198666E-2</v>
      </c>
      <c r="E123" s="236">
        <v>83.7</v>
      </c>
      <c r="F123" s="231">
        <f t="shared" si="8"/>
        <v>-2.2995214194000191E-2</v>
      </c>
      <c r="G123" s="145">
        <v>158.13</v>
      </c>
      <c r="H123" s="216">
        <f t="shared" si="9"/>
        <v>3.2992830404161566E-3</v>
      </c>
      <c r="I123" s="236">
        <v>118.62</v>
      </c>
      <c r="J123" s="231">
        <f t="shared" si="10"/>
        <v>-1.5519960162668989E-2</v>
      </c>
      <c r="K123" s="148">
        <v>156.44</v>
      </c>
      <c r="L123" s="231">
        <f t="shared" si="11"/>
        <v>-2.0045101478326166E-2</v>
      </c>
      <c r="M123" s="148">
        <v>50.21</v>
      </c>
      <c r="N123" s="216">
        <f t="shared" si="12"/>
        <v>3.1853678586107881E-2</v>
      </c>
      <c r="O123" s="196"/>
    </row>
    <row r="124" spans="1:15" ht="16.5">
      <c r="A124" s="215" t="s">
        <v>275</v>
      </c>
      <c r="C124" s="214">
        <v>16965.900000000001</v>
      </c>
      <c r="D124" s="231">
        <f t="shared" si="7"/>
        <v>-1.8069116395899809E-2</v>
      </c>
      <c r="E124" s="236">
        <v>82.68</v>
      </c>
      <c r="F124" s="231">
        <f t="shared" si="8"/>
        <v>-1.2186379928315394E-2</v>
      </c>
      <c r="G124" s="145">
        <v>154.91</v>
      </c>
      <c r="H124" s="216">
        <f t="shared" si="9"/>
        <v>-2.0362992474546204E-2</v>
      </c>
      <c r="I124" s="236">
        <v>117.67</v>
      </c>
      <c r="J124" s="231">
        <f t="shared" si="10"/>
        <v>-8.0087674928343011E-3</v>
      </c>
      <c r="K124" s="148">
        <v>154.84</v>
      </c>
      <c r="L124" s="231">
        <f t="shared" si="11"/>
        <v>-1.0227563283047747E-2</v>
      </c>
      <c r="M124" s="148">
        <v>49.79</v>
      </c>
      <c r="N124" s="216">
        <f t="shared" si="12"/>
        <v>-8.3648675562637553E-3</v>
      </c>
      <c r="O124" s="196"/>
    </row>
    <row r="125" spans="1:15" ht="16.5">
      <c r="A125" s="215" t="s">
        <v>276</v>
      </c>
      <c r="C125" s="214">
        <v>16932.599999999999</v>
      </c>
      <c r="D125" s="231">
        <f t="shared" si="7"/>
        <v>-1.9627605962549977E-3</v>
      </c>
      <c r="E125" s="236">
        <v>83.17</v>
      </c>
      <c r="F125" s="231">
        <f t="shared" si="8"/>
        <v>5.9264634736331256E-3</v>
      </c>
      <c r="G125" s="145">
        <v>156.96</v>
      </c>
      <c r="H125" s="216">
        <f t="shared" si="9"/>
        <v>1.323349041378874E-2</v>
      </c>
      <c r="I125" s="236">
        <v>119.11</v>
      </c>
      <c r="J125" s="231">
        <f t="shared" si="10"/>
        <v>1.2237613665335267E-2</v>
      </c>
      <c r="K125" s="148">
        <v>155.31</v>
      </c>
      <c r="L125" s="231">
        <f t="shared" si="11"/>
        <v>3.0353913717384717E-3</v>
      </c>
      <c r="M125" s="148">
        <v>48.85</v>
      </c>
      <c r="N125" s="216">
        <f t="shared" si="12"/>
        <v>-1.8879293030728994E-2</v>
      </c>
      <c r="O125" s="196"/>
    </row>
    <row r="126" spans="1:15" ht="16.5">
      <c r="A126" s="215" t="s">
        <v>277</v>
      </c>
      <c r="C126" s="214">
        <v>16906.2</v>
      </c>
      <c r="D126" s="231">
        <f t="shared" si="7"/>
        <v>-1.5591226391692414E-3</v>
      </c>
      <c r="E126" s="236">
        <v>83.1</v>
      </c>
      <c r="F126" s="231">
        <f t="shared" si="8"/>
        <v>-8.4164963328137166E-4</v>
      </c>
      <c r="G126" s="145">
        <v>155.4</v>
      </c>
      <c r="H126" s="216">
        <f t="shared" si="9"/>
        <v>-9.9388379204893296E-3</v>
      </c>
      <c r="I126" s="236">
        <v>119.65</v>
      </c>
      <c r="J126" s="231">
        <f t="shared" si="10"/>
        <v>4.5336243808244969E-3</v>
      </c>
      <c r="K126" s="148">
        <v>155.94</v>
      </c>
      <c r="L126" s="231">
        <f t="shared" si="11"/>
        <v>4.0564033223875473E-3</v>
      </c>
      <c r="M126" s="148">
        <v>48.33</v>
      </c>
      <c r="N126" s="216">
        <f t="shared" si="12"/>
        <v>-1.064483111566028E-2</v>
      </c>
      <c r="O126" s="196"/>
    </row>
    <row r="127" spans="1:15" ht="16.5">
      <c r="A127" s="215" t="s">
        <v>278</v>
      </c>
      <c r="C127" s="214">
        <v>16729.5</v>
      </c>
      <c r="D127" s="231">
        <f t="shared" si="7"/>
        <v>-1.0451786918408645E-2</v>
      </c>
      <c r="E127" s="236">
        <v>79.69</v>
      </c>
      <c r="F127" s="231">
        <f t="shared" si="8"/>
        <v>-4.1034897713598029E-2</v>
      </c>
      <c r="G127" s="145">
        <v>146.28</v>
      </c>
      <c r="H127" s="216">
        <f t="shared" si="9"/>
        <v>-5.868725868725877E-2</v>
      </c>
      <c r="I127" s="236">
        <v>117.77</v>
      </c>
      <c r="J127" s="231">
        <f t="shared" si="10"/>
        <v>-1.5712494776431329E-2</v>
      </c>
      <c r="K127" s="148">
        <v>156.91</v>
      </c>
      <c r="L127" s="231">
        <f t="shared" si="11"/>
        <v>6.2203411568551026E-3</v>
      </c>
      <c r="M127" s="148">
        <v>46.92</v>
      </c>
      <c r="N127" s="216">
        <f t="shared" si="12"/>
        <v>-2.9174425822470429E-2</v>
      </c>
      <c r="O127" s="196"/>
    </row>
    <row r="128" spans="1:15" ht="16.5">
      <c r="A128" s="215" t="s">
        <v>279</v>
      </c>
      <c r="C128" s="214">
        <v>16462.900000000001</v>
      </c>
      <c r="D128" s="231">
        <f t="shared" si="7"/>
        <v>-1.5935921575659706E-2</v>
      </c>
      <c r="E128" s="236">
        <v>79.78</v>
      </c>
      <c r="F128" s="231">
        <f t="shared" si="8"/>
        <v>1.1293763332915763E-3</v>
      </c>
      <c r="G128" s="145">
        <v>146.91999999999999</v>
      </c>
      <c r="H128" s="216">
        <f t="shared" si="9"/>
        <v>4.3751709051134124E-3</v>
      </c>
      <c r="I128" s="236">
        <v>122.12</v>
      </c>
      <c r="J128" s="231">
        <f t="shared" si="10"/>
        <v>3.6936401460473833E-2</v>
      </c>
      <c r="K128" s="148">
        <v>159.69</v>
      </c>
      <c r="L128" s="231">
        <f t="shared" si="11"/>
        <v>1.7717162704735223E-2</v>
      </c>
      <c r="M128" s="148">
        <v>46.78</v>
      </c>
      <c r="N128" s="216">
        <f t="shared" si="12"/>
        <v>-2.9838022165388223E-3</v>
      </c>
      <c r="O128" s="196"/>
    </row>
    <row r="129" spans="1:15" ht="16.5">
      <c r="A129" s="215" t="s">
        <v>280</v>
      </c>
      <c r="C129" s="214">
        <v>16673</v>
      </c>
      <c r="D129" s="231">
        <f t="shared" si="7"/>
        <v>1.2762028561188909E-2</v>
      </c>
      <c r="E129" s="236">
        <v>79.760000000000005</v>
      </c>
      <c r="F129" s="231">
        <f t="shared" si="8"/>
        <v>-2.5068939583849925E-4</v>
      </c>
      <c r="G129" s="145">
        <v>147.65</v>
      </c>
      <c r="H129" s="216">
        <f t="shared" si="9"/>
        <v>4.9686904437791224E-3</v>
      </c>
      <c r="I129" s="236">
        <v>122.12</v>
      </c>
      <c r="J129" s="231">
        <f t="shared" si="10"/>
        <v>0</v>
      </c>
      <c r="K129" s="148">
        <v>159.61000000000001</v>
      </c>
      <c r="L129" s="231">
        <f t="shared" si="11"/>
        <v>-5.0097063059673097E-4</v>
      </c>
      <c r="M129" s="148">
        <v>48.38</v>
      </c>
      <c r="N129" s="216">
        <f t="shared" si="12"/>
        <v>3.4202650705429605E-2</v>
      </c>
      <c r="O129" s="196"/>
    </row>
    <row r="130" spans="1:15" ht="16.5">
      <c r="A130" s="215" t="s">
        <v>281</v>
      </c>
      <c r="C130" s="214">
        <v>16690.5</v>
      </c>
      <c r="D130" s="231">
        <f t="shared" si="7"/>
        <v>1.0496011515623849E-3</v>
      </c>
      <c r="E130" s="236">
        <v>79.39</v>
      </c>
      <c r="F130" s="231">
        <f t="shared" si="8"/>
        <v>-4.6389167502508544E-3</v>
      </c>
      <c r="G130" s="145">
        <v>146.31</v>
      </c>
      <c r="H130" s="216">
        <f t="shared" si="9"/>
        <v>-9.0755164239756381E-3</v>
      </c>
      <c r="I130" s="236">
        <v>121.2</v>
      </c>
      <c r="J130" s="231">
        <f t="shared" si="10"/>
        <v>-7.5335735342286769E-3</v>
      </c>
      <c r="K130" s="148">
        <v>156.79</v>
      </c>
      <c r="L130" s="231">
        <f t="shared" si="11"/>
        <v>-1.7668065910657393E-2</v>
      </c>
      <c r="M130" s="148">
        <v>47.99</v>
      </c>
      <c r="N130" s="216">
        <f t="shared" si="12"/>
        <v>-8.061182306738357E-3</v>
      </c>
      <c r="O130" s="196"/>
    </row>
    <row r="131" spans="1:15" ht="16.5">
      <c r="A131" s="215" t="s">
        <v>282</v>
      </c>
      <c r="C131" s="214">
        <v>16770.5</v>
      </c>
      <c r="D131" s="231">
        <f t="shared" si="7"/>
        <v>4.7931458015038064E-3</v>
      </c>
      <c r="E131" s="236">
        <v>78.290000000000006</v>
      </c>
      <c r="F131" s="231">
        <f t="shared" si="8"/>
        <v>-1.3855649326111497E-2</v>
      </c>
      <c r="G131" s="145">
        <v>144.97</v>
      </c>
      <c r="H131" s="216">
        <f t="shared" si="9"/>
        <v>-9.1586357733579593E-3</v>
      </c>
      <c r="I131" s="236">
        <v>119.56</v>
      </c>
      <c r="J131" s="231">
        <f t="shared" si="10"/>
        <v>-1.3531353135313506E-2</v>
      </c>
      <c r="K131" s="148">
        <v>154.85</v>
      </c>
      <c r="L131" s="231">
        <f t="shared" si="11"/>
        <v>-1.2373238089163796E-2</v>
      </c>
      <c r="M131" s="148">
        <v>47.91</v>
      </c>
      <c r="N131" s="216">
        <f t="shared" si="12"/>
        <v>-1.6670139612420254E-3</v>
      </c>
      <c r="O131" s="196"/>
    </row>
    <row r="132" spans="1:15" ht="16.5">
      <c r="A132" s="215" t="s">
        <v>283</v>
      </c>
      <c r="C132" s="214">
        <v>16532.8</v>
      </c>
      <c r="D132" s="231">
        <f t="shared" si="7"/>
        <v>-1.4173697862317813E-2</v>
      </c>
      <c r="E132" s="236">
        <v>76.959999999999994</v>
      </c>
      <c r="F132" s="231">
        <f t="shared" si="8"/>
        <v>-1.6988121088261754E-2</v>
      </c>
      <c r="G132" s="145">
        <v>143.13</v>
      </c>
      <c r="H132" s="216">
        <f t="shared" si="9"/>
        <v>-1.269228116161969E-2</v>
      </c>
      <c r="I132" s="236">
        <v>118.06</v>
      </c>
      <c r="J132" s="231">
        <f t="shared" si="10"/>
        <v>-1.2546002007360335E-2</v>
      </c>
      <c r="K132" s="148">
        <v>153.11000000000001</v>
      </c>
      <c r="L132" s="231">
        <f t="shared" si="11"/>
        <v>-1.123668065870187E-2</v>
      </c>
      <c r="M132" s="148">
        <v>47.35</v>
      </c>
      <c r="N132" s="216">
        <f t="shared" si="12"/>
        <v>-1.1688582759340371E-2</v>
      </c>
      <c r="O132" s="196"/>
    </row>
    <row r="133" spans="1:15" ht="16.5">
      <c r="A133" s="215" t="s">
        <v>284</v>
      </c>
      <c r="C133" s="214">
        <v>16194.9</v>
      </c>
      <c r="D133" s="231">
        <f t="shared" si="7"/>
        <v>-2.0438159295461111E-2</v>
      </c>
      <c r="E133" s="236">
        <v>75.5</v>
      </c>
      <c r="F133" s="231">
        <f t="shared" si="8"/>
        <v>-1.8970893970893909E-2</v>
      </c>
      <c r="G133" s="145">
        <v>142.5</v>
      </c>
      <c r="H133" s="216">
        <f t="shared" si="9"/>
        <v>-4.4015929574512391E-3</v>
      </c>
      <c r="I133" s="236">
        <v>118.24</v>
      </c>
      <c r="J133" s="231">
        <f t="shared" si="10"/>
        <v>1.5246484838218333E-3</v>
      </c>
      <c r="K133" s="148">
        <v>151.77000000000001</v>
      </c>
      <c r="L133" s="231">
        <f t="shared" si="11"/>
        <v>-8.7518777349617771E-3</v>
      </c>
      <c r="M133" s="148">
        <v>47.2</v>
      </c>
      <c r="N133" s="216">
        <f t="shared" si="12"/>
        <v>-3.1678986272438703E-3</v>
      </c>
      <c r="O133" s="196"/>
    </row>
    <row r="134" spans="1:15" ht="16.5">
      <c r="A134" s="215" t="s">
        <v>285</v>
      </c>
      <c r="C134" s="214">
        <v>16081.8</v>
      </c>
      <c r="D134" s="231">
        <f t="shared" si="7"/>
        <v>-6.9836800474223359E-3</v>
      </c>
      <c r="E134" s="236">
        <v>76.680000000000007</v>
      </c>
      <c r="F134" s="231">
        <f t="shared" si="8"/>
        <v>1.5629139072847797E-2</v>
      </c>
      <c r="G134" s="145">
        <v>144.52000000000001</v>
      </c>
      <c r="H134" s="216">
        <f t="shared" si="9"/>
        <v>1.4175438596491396E-2</v>
      </c>
      <c r="I134" s="236">
        <v>119.59</v>
      </c>
      <c r="J134" s="231">
        <f t="shared" si="10"/>
        <v>1.1417456021650896E-2</v>
      </c>
      <c r="K134" s="148">
        <v>153.84</v>
      </c>
      <c r="L134" s="231">
        <f t="shared" si="11"/>
        <v>1.3639059102589446E-2</v>
      </c>
      <c r="M134" s="148">
        <v>47.31</v>
      </c>
      <c r="N134" s="216">
        <f t="shared" si="12"/>
        <v>2.3305084745761651E-3</v>
      </c>
      <c r="O134" s="196"/>
    </row>
    <row r="135" spans="1:15" ht="16.5">
      <c r="A135" s="215" t="s">
        <v>286</v>
      </c>
      <c r="C135" s="214">
        <v>15897.5</v>
      </c>
      <c r="D135" s="231">
        <f t="shared" si="7"/>
        <v>-1.1460159932345837E-2</v>
      </c>
      <c r="E135" s="236">
        <v>77</v>
      </c>
      <c r="F135" s="231">
        <f t="shared" si="8"/>
        <v>4.1731872717787333E-3</v>
      </c>
      <c r="G135" s="145">
        <v>150.08000000000001</v>
      </c>
      <c r="H135" s="216">
        <f t="shared" si="9"/>
        <v>3.8472183780791536E-2</v>
      </c>
      <c r="I135" s="236">
        <v>120.93</v>
      </c>
      <c r="J135" s="231">
        <f t="shared" si="10"/>
        <v>1.1204950246676226E-2</v>
      </c>
      <c r="K135" s="148">
        <v>150.84</v>
      </c>
      <c r="L135" s="231">
        <f t="shared" si="11"/>
        <v>-1.9500780031201259E-2</v>
      </c>
      <c r="M135" s="148">
        <v>47.33</v>
      </c>
      <c r="N135" s="216">
        <f t="shared" si="12"/>
        <v>4.2274360600291772E-4</v>
      </c>
      <c r="O135" s="196"/>
    </row>
    <row r="136" spans="1:15" ht="16.5">
      <c r="A136" s="215" t="s">
        <v>287</v>
      </c>
      <c r="C136" s="214">
        <v>15782.5</v>
      </c>
      <c r="D136" s="231">
        <f t="shared" si="7"/>
        <v>-7.2338417990249759E-3</v>
      </c>
      <c r="E136" s="236">
        <v>75.17</v>
      </c>
      <c r="F136" s="231">
        <f t="shared" si="8"/>
        <v>-2.3766233766233769E-2</v>
      </c>
      <c r="G136" s="145">
        <v>148.83000000000001</v>
      </c>
      <c r="H136" s="216">
        <f t="shared" si="9"/>
        <v>-8.3288912579957408E-3</v>
      </c>
      <c r="I136" s="236">
        <v>120.25</v>
      </c>
      <c r="J136" s="231">
        <f t="shared" si="10"/>
        <v>-5.6230877367072774E-3</v>
      </c>
      <c r="K136" s="148">
        <v>147.54</v>
      </c>
      <c r="L136" s="231">
        <f t="shared" si="11"/>
        <v>-2.1877486077963471E-2</v>
      </c>
      <c r="M136" s="148">
        <v>46.92</v>
      </c>
      <c r="N136" s="216">
        <f t="shared" si="12"/>
        <v>-8.6625818719627823E-3</v>
      </c>
      <c r="O136" s="196"/>
    </row>
    <row r="137" spans="1:15" ht="16.5">
      <c r="A137" s="215" t="s">
        <v>288</v>
      </c>
      <c r="C137" s="214">
        <v>15321.5</v>
      </c>
      <c r="D137" s="231">
        <f t="shared" si="7"/>
        <v>-2.9209567559005278E-2</v>
      </c>
      <c r="E137" s="236">
        <v>75.37</v>
      </c>
      <c r="F137" s="231">
        <f t="shared" si="8"/>
        <v>2.6606358919782913E-3</v>
      </c>
      <c r="G137" s="145">
        <v>150.38</v>
      </c>
      <c r="H137" s="216">
        <f t="shared" si="9"/>
        <v>1.0414566955586846E-2</v>
      </c>
      <c r="I137" s="236">
        <v>120.72</v>
      </c>
      <c r="J137" s="231">
        <f t="shared" si="10"/>
        <v>3.9085239085239198E-3</v>
      </c>
      <c r="K137" s="148">
        <v>146.65</v>
      </c>
      <c r="L137" s="231">
        <f t="shared" si="11"/>
        <v>-6.032262437305036E-3</v>
      </c>
      <c r="M137" s="148">
        <v>47.22</v>
      </c>
      <c r="N137" s="216">
        <f t="shared" si="12"/>
        <v>6.3938618925829527E-3</v>
      </c>
      <c r="O137" s="196"/>
    </row>
    <row r="138" spans="1:15" ht="16.5">
      <c r="A138" s="215" t="s">
        <v>289</v>
      </c>
      <c r="C138" s="214">
        <v>15207.6</v>
      </c>
      <c r="D138" s="231">
        <f t="shared" si="7"/>
        <v>-7.4339979766994135E-3</v>
      </c>
      <c r="E138" s="236">
        <v>74.67</v>
      </c>
      <c r="F138" s="231">
        <f t="shared" si="8"/>
        <v>-9.2875149263632606E-3</v>
      </c>
      <c r="G138" s="145">
        <v>149.12</v>
      </c>
      <c r="H138" s="216">
        <f t="shared" si="9"/>
        <v>-8.3787737731080281E-3</v>
      </c>
      <c r="I138" s="236">
        <v>119</v>
      </c>
      <c r="J138" s="231">
        <f t="shared" si="10"/>
        <v>-1.4247846255798557E-2</v>
      </c>
      <c r="K138" s="148">
        <v>145.63999999999999</v>
      </c>
      <c r="L138" s="231">
        <f t="shared" si="11"/>
        <v>-6.8871462666213468E-3</v>
      </c>
      <c r="M138" s="148">
        <v>47.65</v>
      </c>
      <c r="N138" s="216">
        <f t="shared" si="12"/>
        <v>9.1063108852180719E-3</v>
      </c>
      <c r="O138" s="196"/>
    </row>
    <row r="139" spans="1:15" ht="16.5">
      <c r="A139" s="215" t="s">
        <v>290</v>
      </c>
      <c r="C139" s="214">
        <v>14675.8</v>
      </c>
      <c r="D139" s="231">
        <f t="shared" si="7"/>
        <v>-3.4969357426549941E-2</v>
      </c>
      <c r="E139" s="236">
        <v>72.36</v>
      </c>
      <c r="F139" s="231">
        <f t="shared" si="8"/>
        <v>-3.0936118923262423E-2</v>
      </c>
      <c r="G139" s="145">
        <v>147.54</v>
      </c>
      <c r="H139" s="216">
        <f t="shared" si="9"/>
        <v>-1.0595493562231884E-2</v>
      </c>
      <c r="I139" s="236">
        <v>117.46</v>
      </c>
      <c r="J139" s="231">
        <f t="shared" si="10"/>
        <v>-1.2941176470588234E-2</v>
      </c>
      <c r="K139" s="148">
        <v>146</v>
      </c>
      <c r="L139" s="231">
        <f t="shared" si="11"/>
        <v>2.4718483932986146E-3</v>
      </c>
      <c r="M139" s="148">
        <v>46.85</v>
      </c>
      <c r="N139" s="216">
        <f t="shared" si="12"/>
        <v>-1.6789087093389221E-2</v>
      </c>
      <c r="O139" s="196"/>
    </row>
    <row r="140" spans="1:15" ht="16.5">
      <c r="A140" s="215" t="s">
        <v>291</v>
      </c>
      <c r="C140" s="214">
        <v>14638.4</v>
      </c>
      <c r="D140" s="231">
        <f t="shared" si="7"/>
        <v>-2.5484130337016797E-3</v>
      </c>
      <c r="E140" s="236">
        <v>71.459999999999994</v>
      </c>
      <c r="F140" s="231">
        <f t="shared" si="8"/>
        <v>-1.2437810945273742E-2</v>
      </c>
      <c r="G140" s="145">
        <v>146.28</v>
      </c>
      <c r="H140" s="216">
        <f t="shared" si="9"/>
        <v>-8.5400569337128474E-3</v>
      </c>
      <c r="I140" s="236">
        <v>116.63</v>
      </c>
      <c r="J140" s="231">
        <f t="shared" si="10"/>
        <v>-7.066235314149516E-3</v>
      </c>
      <c r="K140" s="148">
        <v>144.94999999999999</v>
      </c>
      <c r="L140" s="231">
        <f t="shared" si="11"/>
        <v>-7.1917808219178481E-3</v>
      </c>
      <c r="M140" s="148">
        <v>46.16</v>
      </c>
      <c r="N140" s="216">
        <f t="shared" si="12"/>
        <v>-1.4727854855923317E-2</v>
      </c>
      <c r="O140" s="196"/>
    </row>
    <row r="141" spans="1:15" ht="16.5">
      <c r="A141" s="215" t="s">
        <v>292</v>
      </c>
      <c r="C141" s="214">
        <v>15031.6</v>
      </c>
      <c r="D141" s="231">
        <f t="shared" si="7"/>
        <v>2.686085911028524E-2</v>
      </c>
      <c r="E141" s="236">
        <v>71.069999999999993</v>
      </c>
      <c r="F141" s="231">
        <f t="shared" si="8"/>
        <v>-5.4575986565911228E-3</v>
      </c>
      <c r="G141" s="145">
        <v>145.24</v>
      </c>
      <c r="H141" s="216">
        <f t="shared" si="9"/>
        <v>-7.109652720809323E-3</v>
      </c>
      <c r="I141" s="236">
        <v>120.64</v>
      </c>
      <c r="J141" s="231">
        <f t="shared" si="10"/>
        <v>3.4382234416530988E-2</v>
      </c>
      <c r="K141" s="148">
        <v>150.15</v>
      </c>
      <c r="L141" s="231">
        <f t="shared" si="11"/>
        <v>3.5874439461883512E-2</v>
      </c>
      <c r="M141" s="148">
        <v>47.42</v>
      </c>
      <c r="N141" s="216">
        <f t="shared" si="12"/>
        <v>2.7296360485268734E-2</v>
      </c>
      <c r="O141" s="196"/>
    </row>
    <row r="142" spans="1:15" ht="16.5">
      <c r="A142" s="215" t="s">
        <v>293</v>
      </c>
      <c r="C142" s="214">
        <v>15166.5</v>
      </c>
      <c r="D142" s="231">
        <f t="shared" si="7"/>
        <v>8.9744272066845099E-3</v>
      </c>
      <c r="E142" s="236">
        <v>68.44</v>
      </c>
      <c r="F142" s="231">
        <f t="shared" si="8"/>
        <v>-3.7005768960180041E-2</v>
      </c>
      <c r="G142" s="145">
        <v>141.6</v>
      </c>
      <c r="H142" s="216">
        <f t="shared" si="9"/>
        <v>-2.5061966400440783E-2</v>
      </c>
      <c r="I142" s="236">
        <v>117.34</v>
      </c>
      <c r="J142" s="231">
        <f t="shared" si="10"/>
        <v>-2.7354111405835546E-2</v>
      </c>
      <c r="K142" s="148">
        <v>155.07</v>
      </c>
      <c r="L142" s="231">
        <f t="shared" si="11"/>
        <v>3.276723276723259E-2</v>
      </c>
      <c r="M142" s="148">
        <v>47.54</v>
      </c>
      <c r="N142" s="216">
        <f t="shared" si="12"/>
        <v>2.530577815267776E-3</v>
      </c>
      <c r="O142" s="196"/>
    </row>
    <row r="143" spans="1:15" ht="16.5">
      <c r="A143" s="215" t="s">
        <v>294</v>
      </c>
      <c r="C143" s="214">
        <v>14925</v>
      </c>
      <c r="D143" s="231">
        <f t="shared" si="7"/>
        <v>-1.5923251903867119E-2</v>
      </c>
      <c r="E143" s="236">
        <v>67.62</v>
      </c>
      <c r="F143" s="231">
        <f t="shared" si="8"/>
        <v>-1.1981297486849729E-2</v>
      </c>
      <c r="G143" s="145">
        <v>141.44999999999999</v>
      </c>
      <c r="H143" s="216">
        <f t="shared" si="9"/>
        <v>-1.0593220338983578E-3</v>
      </c>
      <c r="I143" s="236">
        <v>116.32</v>
      </c>
      <c r="J143" s="231">
        <f t="shared" si="10"/>
        <v>-8.6926879154594072E-3</v>
      </c>
      <c r="K143" s="148">
        <v>153.32</v>
      </c>
      <c r="L143" s="231">
        <f t="shared" si="11"/>
        <v>-1.1285226026955586E-2</v>
      </c>
      <c r="M143" s="148">
        <v>47.25</v>
      </c>
      <c r="N143" s="216">
        <f t="shared" si="12"/>
        <v>-6.100126209507728E-3</v>
      </c>
      <c r="O143" s="196"/>
    </row>
    <row r="144" spans="1:15" ht="16.5">
      <c r="A144" s="215" t="s">
        <v>295</v>
      </c>
      <c r="C144" s="214">
        <v>15288.5</v>
      </c>
      <c r="D144" s="231">
        <f t="shared" si="7"/>
        <v>2.4355108877721854E-2</v>
      </c>
      <c r="E144" s="236">
        <v>70.72</v>
      </c>
      <c r="F144" s="231">
        <f t="shared" si="8"/>
        <v>4.5844424726412258E-2</v>
      </c>
      <c r="G144" s="145">
        <v>144.82</v>
      </c>
      <c r="H144" s="216">
        <f t="shared" si="9"/>
        <v>2.3824673029338994E-2</v>
      </c>
      <c r="I144" s="236">
        <v>120.36</v>
      </c>
      <c r="J144" s="231">
        <f t="shared" si="10"/>
        <v>3.4731774415405869E-2</v>
      </c>
      <c r="K144" s="148">
        <v>155.26</v>
      </c>
      <c r="L144" s="231">
        <f t="shared" si="11"/>
        <v>1.2653274197756303E-2</v>
      </c>
      <c r="M144" s="148">
        <v>48.66</v>
      </c>
      <c r="N144" s="216">
        <f t="shared" si="12"/>
        <v>2.984126984126978E-2</v>
      </c>
      <c r="O144" s="196"/>
    </row>
    <row r="145" spans="1:15" ht="16.5">
      <c r="A145" s="215" t="s">
        <v>296</v>
      </c>
      <c r="C145" s="214">
        <v>15561.8</v>
      </c>
      <c r="D145" s="231">
        <f t="shared" si="7"/>
        <v>1.7876181443568617E-2</v>
      </c>
      <c r="E145" s="236">
        <v>72.34</v>
      </c>
      <c r="F145" s="231">
        <f t="shared" si="8"/>
        <v>2.2907239819004666E-2</v>
      </c>
      <c r="G145" s="145">
        <v>151.38</v>
      </c>
      <c r="H145" s="216">
        <f t="shared" si="9"/>
        <v>4.5297610827233825E-2</v>
      </c>
      <c r="I145" s="236">
        <v>123.75</v>
      </c>
      <c r="J145" s="231">
        <f t="shared" si="10"/>
        <v>2.8165503489531396E-2</v>
      </c>
      <c r="K145" s="148">
        <v>160.25</v>
      </c>
      <c r="L145" s="231">
        <f t="shared" si="11"/>
        <v>3.2139636738374389E-2</v>
      </c>
      <c r="M145" s="148">
        <v>50.3</v>
      </c>
      <c r="N145" s="216">
        <f t="shared" si="12"/>
        <v>3.3703247020139715E-2</v>
      </c>
      <c r="O145" s="196"/>
    </row>
    <row r="146" spans="1:15" ht="16.5">
      <c r="A146" s="215" t="s">
        <v>297</v>
      </c>
      <c r="C146" s="214">
        <v>15879</v>
      </c>
      <c r="D146" s="231">
        <f t="shared" si="7"/>
        <v>2.0383246154043855E-2</v>
      </c>
      <c r="E146" s="236">
        <v>72.47</v>
      </c>
      <c r="F146" s="231">
        <f t="shared" si="8"/>
        <v>1.7970693945257299E-3</v>
      </c>
      <c r="G146" s="145">
        <v>151.57</v>
      </c>
      <c r="H146" s="216">
        <f t="shared" si="9"/>
        <v>1.2551195666534731E-3</v>
      </c>
      <c r="I146" s="236">
        <v>124.64</v>
      </c>
      <c r="J146" s="231">
        <f t="shared" si="10"/>
        <v>7.1919191919191938E-3</v>
      </c>
      <c r="K146" s="148">
        <v>160.44999999999999</v>
      </c>
      <c r="L146" s="231">
        <f t="shared" si="11"/>
        <v>1.2480499219968966E-3</v>
      </c>
      <c r="M146" s="148">
        <v>50.2</v>
      </c>
      <c r="N146" s="216">
        <f t="shared" si="12"/>
        <v>-1.9880715705764551E-3</v>
      </c>
      <c r="O146" s="196"/>
    </row>
    <row r="147" spans="1:15" ht="16.5">
      <c r="A147" s="215" t="s">
        <v>298</v>
      </c>
      <c r="C147" s="214">
        <v>15811.7</v>
      </c>
      <c r="D147" s="231">
        <f t="shared" si="7"/>
        <v>-4.238302160085583E-3</v>
      </c>
      <c r="E147" s="236">
        <v>72.28</v>
      </c>
      <c r="F147" s="231">
        <f t="shared" si="8"/>
        <v>-2.6217745273906523E-3</v>
      </c>
      <c r="G147" s="145">
        <v>151.54</v>
      </c>
      <c r="H147" s="216">
        <f t="shared" si="9"/>
        <v>-1.9792834993737074E-4</v>
      </c>
      <c r="I147" s="236">
        <v>125.35</v>
      </c>
      <c r="J147" s="231">
        <f t="shared" si="10"/>
        <v>5.6964056482669001E-3</v>
      </c>
      <c r="K147" s="148">
        <v>157.35</v>
      </c>
      <c r="L147" s="231">
        <f t="shared" si="11"/>
        <v>-1.9320660641944487E-2</v>
      </c>
      <c r="M147" s="148">
        <v>49.63</v>
      </c>
      <c r="N147" s="216">
        <f t="shared" si="12"/>
        <v>-1.1354581673306829E-2</v>
      </c>
      <c r="O147" s="196"/>
    </row>
    <row r="148" spans="1:15" ht="16.5">
      <c r="A148" s="215" t="s">
        <v>299</v>
      </c>
      <c r="C148" s="214">
        <v>15766.9</v>
      </c>
      <c r="D148" s="231">
        <f t="shared" si="7"/>
        <v>-2.8333449281229273E-3</v>
      </c>
      <c r="E148" s="236">
        <v>72.45</v>
      </c>
      <c r="F148" s="231">
        <f t="shared" si="8"/>
        <v>2.3519645821803437E-3</v>
      </c>
      <c r="G148" s="145">
        <v>152.03</v>
      </c>
      <c r="H148" s="216">
        <f t="shared" si="9"/>
        <v>3.2334697109674959E-3</v>
      </c>
      <c r="I148" s="236">
        <v>126.52</v>
      </c>
      <c r="J148" s="231">
        <f t="shared" si="10"/>
        <v>9.333865177503009E-3</v>
      </c>
      <c r="K148" s="148">
        <v>160.01</v>
      </c>
      <c r="L148" s="231">
        <f t="shared" si="11"/>
        <v>1.6904988878296834E-2</v>
      </c>
      <c r="M148" s="148">
        <v>50.65</v>
      </c>
      <c r="N148" s="216">
        <f t="shared" si="12"/>
        <v>2.0552085432198108E-2</v>
      </c>
      <c r="O148" s="196"/>
    </row>
    <row r="149" spans="1:15" ht="16.5">
      <c r="A149" s="215" t="s">
        <v>300</v>
      </c>
      <c r="C149" s="214">
        <v>15632.6</v>
      </c>
      <c r="D149" s="231">
        <f t="shared" si="7"/>
        <v>-8.5178443447981866E-3</v>
      </c>
      <c r="E149" s="236">
        <v>73.13</v>
      </c>
      <c r="F149" s="231">
        <f t="shared" si="8"/>
        <v>9.3857832988266665E-3</v>
      </c>
      <c r="G149" s="145">
        <v>150.93</v>
      </c>
      <c r="H149" s="216">
        <f t="shared" si="9"/>
        <v>-7.2354140630138675E-3</v>
      </c>
      <c r="I149" s="236">
        <v>126.31</v>
      </c>
      <c r="J149" s="231">
        <f t="shared" si="10"/>
        <v>-1.6598166297817629E-3</v>
      </c>
      <c r="K149" s="148">
        <v>163.47</v>
      </c>
      <c r="L149" s="231">
        <f t="shared" si="11"/>
        <v>2.1623648521967409E-2</v>
      </c>
      <c r="M149" s="148">
        <v>50.31</v>
      </c>
      <c r="N149" s="216">
        <f t="shared" si="12"/>
        <v>-6.712734452122282E-3</v>
      </c>
      <c r="O149" s="196"/>
    </row>
    <row r="150" spans="1:15" ht="16.5">
      <c r="A150" s="215" t="s">
        <v>301</v>
      </c>
      <c r="C150" s="214">
        <v>15626.9</v>
      </c>
      <c r="D150" s="231">
        <f t="shared" si="7"/>
        <v>-3.646226475443326E-4</v>
      </c>
      <c r="E150" s="236">
        <v>73.53</v>
      </c>
      <c r="F150" s="231">
        <f t="shared" si="8"/>
        <v>5.469711472719796E-3</v>
      </c>
      <c r="G150" s="145">
        <v>151.16999999999999</v>
      </c>
      <c r="H150" s="216">
        <f t="shared" si="9"/>
        <v>1.5901411250247577E-3</v>
      </c>
      <c r="I150" s="236">
        <v>126.23</v>
      </c>
      <c r="J150" s="231">
        <f t="shared" si="10"/>
        <v>-6.3336236244160293E-4</v>
      </c>
      <c r="K150" s="148">
        <v>171.31</v>
      </c>
      <c r="L150" s="231">
        <f t="shared" si="11"/>
        <v>4.7959870312595632E-2</v>
      </c>
      <c r="M150" s="148">
        <v>50.42</v>
      </c>
      <c r="N150" s="216">
        <f t="shared" si="12"/>
        <v>2.1864440469090418E-3</v>
      </c>
      <c r="O150" s="196"/>
    </row>
    <row r="151" spans="1:15" ht="16.5">
      <c r="A151" s="215" t="s">
        <v>302</v>
      </c>
      <c r="C151" s="214">
        <v>16025.4</v>
      </c>
      <c r="D151" s="231">
        <f t="shared" si="7"/>
        <v>2.5500899090670659E-2</v>
      </c>
      <c r="E151" s="236">
        <v>76.12</v>
      </c>
      <c r="F151" s="231">
        <f t="shared" si="8"/>
        <v>3.5223718210254384E-2</v>
      </c>
      <c r="G151" s="145">
        <v>155.49</v>
      </c>
      <c r="H151" s="216">
        <f t="shared" si="9"/>
        <v>2.8577098630680808E-2</v>
      </c>
      <c r="I151" s="236">
        <v>127.43</v>
      </c>
      <c r="J151" s="231">
        <f t="shared" si="10"/>
        <v>9.5064564683513542E-3</v>
      </c>
      <c r="K151" s="148">
        <v>169.36</v>
      </c>
      <c r="L151" s="231">
        <f t="shared" si="11"/>
        <v>-1.1382873153931383E-2</v>
      </c>
      <c r="M151" s="148">
        <v>51.68</v>
      </c>
      <c r="N151" s="216">
        <f t="shared" si="12"/>
        <v>2.4990083300277632E-2</v>
      </c>
      <c r="O151" s="196"/>
    </row>
    <row r="152" spans="1:15" ht="16.5">
      <c r="A152" s="215" t="s">
        <v>303</v>
      </c>
      <c r="C152" s="214">
        <v>16059.8</v>
      </c>
      <c r="D152" s="231">
        <f t="shared" si="7"/>
        <v>2.1465922847478947E-3</v>
      </c>
      <c r="E152" s="236">
        <v>75.42</v>
      </c>
      <c r="F152" s="231">
        <f t="shared" si="8"/>
        <v>-9.1960063058329489E-3</v>
      </c>
      <c r="G152" s="145">
        <v>155.06</v>
      </c>
      <c r="H152" s="216">
        <f t="shared" si="9"/>
        <v>-2.7654511544150662E-3</v>
      </c>
      <c r="I152" s="236">
        <v>127.68</v>
      </c>
      <c r="J152" s="231">
        <f t="shared" si="10"/>
        <v>1.9618614141097002E-3</v>
      </c>
      <c r="K152" s="148">
        <v>166.06</v>
      </c>
      <c r="L152" s="231">
        <f t="shared" si="11"/>
        <v>-1.9485120453471949E-2</v>
      </c>
      <c r="M152" s="148">
        <v>51.85</v>
      </c>
      <c r="N152" s="216">
        <f t="shared" si="12"/>
        <v>3.2894736842106198E-3</v>
      </c>
      <c r="O152" s="196"/>
    </row>
    <row r="153" spans="1:15" ht="16.5">
      <c r="A153" s="215" t="s">
        <v>304</v>
      </c>
      <c r="C153" s="214">
        <v>16254.2</v>
      </c>
      <c r="D153" s="231">
        <f t="shared" si="7"/>
        <v>1.2104758465236287E-2</v>
      </c>
      <c r="E153" s="236">
        <v>73.75</v>
      </c>
      <c r="F153" s="231">
        <f t="shared" si="8"/>
        <v>-2.2142667727393262E-2</v>
      </c>
      <c r="G153" s="145">
        <v>151.91</v>
      </c>
      <c r="H153" s="216">
        <f t="shared" si="9"/>
        <v>-2.0314716883786943E-2</v>
      </c>
      <c r="I153" s="236">
        <v>130</v>
      </c>
      <c r="J153" s="231">
        <f t="shared" si="10"/>
        <v>1.8170426065162948E-2</v>
      </c>
      <c r="K153" s="148">
        <v>169.75</v>
      </c>
      <c r="L153" s="231">
        <f t="shared" si="11"/>
        <v>2.2220884017824849E-2</v>
      </c>
      <c r="M153" s="148">
        <v>51.17</v>
      </c>
      <c r="N153" s="216">
        <f t="shared" si="12"/>
        <v>-1.3114754098360604E-2</v>
      </c>
      <c r="O153" s="196"/>
    </row>
    <row r="154" spans="1:15" ht="16.5">
      <c r="A154" s="215" t="s">
        <v>305</v>
      </c>
      <c r="C154" s="214">
        <v>15977.2</v>
      </c>
      <c r="D154" s="231">
        <f t="shared" si="7"/>
        <v>-1.7041749209435131E-2</v>
      </c>
      <c r="E154" s="236">
        <v>75.42</v>
      </c>
      <c r="F154" s="231">
        <f t="shared" si="8"/>
        <v>2.2644067796610212E-2</v>
      </c>
      <c r="G154" s="145">
        <v>148.13999999999999</v>
      </c>
      <c r="H154" s="216">
        <f t="shared" si="9"/>
        <v>-2.48173260483181E-2</v>
      </c>
      <c r="I154" s="236">
        <v>130.82</v>
      </c>
      <c r="J154" s="231">
        <f t="shared" si="10"/>
        <v>6.3076923076923475E-3</v>
      </c>
      <c r="K154" s="148">
        <v>157.33000000000001</v>
      </c>
      <c r="L154" s="231">
        <f t="shared" si="11"/>
        <v>-7.3166421207658261E-2</v>
      </c>
      <c r="M154" s="148">
        <v>51.85</v>
      </c>
      <c r="N154" s="216">
        <f t="shared" si="12"/>
        <v>1.3289036544850585E-2</v>
      </c>
      <c r="O154" s="196"/>
    </row>
    <row r="155" spans="1:15" ht="16.5">
      <c r="A155" s="215" t="s">
        <v>306</v>
      </c>
      <c r="C155" s="214">
        <v>15648.7</v>
      </c>
      <c r="D155" s="231">
        <f t="shared" si="7"/>
        <v>-2.0560548782014409E-2</v>
      </c>
      <c r="E155" s="236">
        <v>74.650000000000006</v>
      </c>
      <c r="F155" s="231">
        <f t="shared" si="8"/>
        <v>-1.020949350304956E-2</v>
      </c>
      <c r="G155" s="145">
        <v>146.96</v>
      </c>
      <c r="H155" s="216">
        <f t="shared" si="9"/>
        <v>-7.9654380990953344E-3</v>
      </c>
      <c r="I155" s="236">
        <v>133.99</v>
      </c>
      <c r="J155" s="231">
        <f t="shared" si="10"/>
        <v>2.4231768842684742E-2</v>
      </c>
      <c r="K155" s="148">
        <v>157.41</v>
      </c>
      <c r="L155" s="231">
        <f t="shared" si="11"/>
        <v>5.0848534926584144E-4</v>
      </c>
      <c r="M155" s="148">
        <v>50.9</v>
      </c>
      <c r="N155" s="216">
        <f t="shared" si="12"/>
        <v>-1.8322082931533368E-2</v>
      </c>
      <c r="O155" s="196"/>
    </row>
    <row r="156" spans="1:15" ht="16.5">
      <c r="A156" s="215" t="s">
        <v>307</v>
      </c>
      <c r="C156" s="214">
        <v>15558</v>
      </c>
      <c r="D156" s="231">
        <f t="shared" si="7"/>
        <v>-5.7960086141340961E-3</v>
      </c>
      <c r="E156" s="236">
        <v>75.53</v>
      </c>
      <c r="F156" s="231">
        <f t="shared" si="8"/>
        <v>1.1788345612860018E-2</v>
      </c>
      <c r="G156" s="145">
        <v>148.75</v>
      </c>
      <c r="H156" s="216">
        <f t="shared" si="9"/>
        <v>1.2180185084376571E-2</v>
      </c>
      <c r="I156" s="236">
        <v>135.06</v>
      </c>
      <c r="J156" s="231">
        <f t="shared" si="10"/>
        <v>7.9856705724308252E-3</v>
      </c>
      <c r="K156" s="148">
        <v>159.19999999999999</v>
      </c>
      <c r="L156" s="231">
        <f t="shared" si="11"/>
        <v>1.1371577409313272E-2</v>
      </c>
      <c r="M156" s="148">
        <v>50.95</v>
      </c>
      <c r="N156" s="216">
        <f t="shared" si="12"/>
        <v>9.8231827111994185E-4</v>
      </c>
      <c r="O156" s="196"/>
    </row>
    <row r="157" spans="1:15" ht="16.5">
      <c r="A157" s="215" t="s">
        <v>308</v>
      </c>
      <c r="C157" s="214">
        <v>15469.4</v>
      </c>
      <c r="D157" s="231">
        <f t="shared" si="7"/>
        <v>-5.694819385525185E-3</v>
      </c>
      <c r="E157" s="236">
        <v>74.650000000000006</v>
      </c>
      <c r="F157" s="231">
        <f t="shared" si="8"/>
        <v>-1.16509996028068E-2</v>
      </c>
      <c r="G157" s="145">
        <v>146.72</v>
      </c>
      <c r="H157" s="216">
        <f t="shared" si="9"/>
        <v>-1.3647058823529457E-2</v>
      </c>
      <c r="I157" s="236">
        <v>134.9</v>
      </c>
      <c r="J157" s="231">
        <f t="shared" si="10"/>
        <v>-1.1846586702206618E-3</v>
      </c>
      <c r="K157" s="148">
        <v>161.33000000000001</v>
      </c>
      <c r="L157" s="231">
        <f t="shared" si="11"/>
        <v>1.3379396984924741E-2</v>
      </c>
      <c r="M157" s="148">
        <v>51.33</v>
      </c>
      <c r="N157" s="216">
        <f t="shared" si="12"/>
        <v>7.4582924435719899E-3</v>
      </c>
      <c r="O157" s="196"/>
    </row>
    <row r="158" spans="1:15" ht="16.5">
      <c r="A158" s="215" t="s">
        <v>309</v>
      </c>
      <c r="C158" s="214">
        <v>15449.8</v>
      </c>
      <c r="D158" s="231">
        <f t="shared" si="7"/>
        <v>-1.2670174667408496E-3</v>
      </c>
      <c r="E158" s="236">
        <v>77.040000000000006</v>
      </c>
      <c r="F158" s="231">
        <f t="shared" si="8"/>
        <v>3.201607501674486E-2</v>
      </c>
      <c r="G158" s="145">
        <v>147.87</v>
      </c>
      <c r="H158" s="216">
        <f t="shared" si="9"/>
        <v>7.8380588876771906E-3</v>
      </c>
      <c r="I158" s="236">
        <v>136.24</v>
      </c>
      <c r="J158" s="231">
        <f t="shared" si="10"/>
        <v>9.9332839140104934E-3</v>
      </c>
      <c r="K158" s="148">
        <v>162.69</v>
      </c>
      <c r="L158" s="231">
        <f t="shared" si="11"/>
        <v>8.4299262381453133E-3</v>
      </c>
      <c r="M158" s="148">
        <v>51.35</v>
      </c>
      <c r="N158" s="216">
        <f t="shared" si="12"/>
        <v>3.8963569062921977E-4</v>
      </c>
      <c r="O158" s="196"/>
    </row>
    <row r="159" spans="1:15" ht="16.5">
      <c r="A159" s="215" t="s">
        <v>310</v>
      </c>
      <c r="C159" s="214">
        <v>15483</v>
      </c>
      <c r="D159" s="231">
        <f t="shared" si="7"/>
        <v>2.1488951313286542E-3</v>
      </c>
      <c r="E159" s="236">
        <v>74.989999999999995</v>
      </c>
      <c r="F159" s="231">
        <f t="shared" si="8"/>
        <v>-2.6609553478712522E-2</v>
      </c>
      <c r="G159" s="145">
        <v>144.27000000000001</v>
      </c>
      <c r="H159" s="216">
        <f t="shared" si="9"/>
        <v>-2.4345709068776644E-2</v>
      </c>
      <c r="I159" s="236">
        <v>133.63</v>
      </c>
      <c r="J159" s="231">
        <f t="shared" si="10"/>
        <v>-1.9157369348209108E-2</v>
      </c>
      <c r="K159" s="148">
        <v>158.72999999999999</v>
      </c>
      <c r="L159" s="231">
        <f t="shared" si="11"/>
        <v>-2.4340770791075106E-2</v>
      </c>
      <c r="M159" s="148">
        <v>49.69</v>
      </c>
      <c r="N159" s="216">
        <f t="shared" si="12"/>
        <v>-3.2327166504381721E-2</v>
      </c>
      <c r="O159" s="196"/>
    </row>
    <row r="160" spans="1:15" ht="16.5">
      <c r="A160" s="215" t="s">
        <v>311</v>
      </c>
      <c r="C160" s="214">
        <v>15258.9</v>
      </c>
      <c r="D160" s="231">
        <f t="shared" si="7"/>
        <v>-1.4473939159077687E-2</v>
      </c>
      <c r="E160" s="236">
        <v>74.430000000000007</v>
      </c>
      <c r="F160" s="231">
        <f t="shared" si="8"/>
        <v>-7.467662354980531E-3</v>
      </c>
      <c r="G160" s="145">
        <v>143.47</v>
      </c>
      <c r="H160" s="216">
        <f t="shared" si="9"/>
        <v>-5.5451583835863794E-3</v>
      </c>
      <c r="I160" s="236">
        <v>133.32</v>
      </c>
      <c r="J160" s="231">
        <f t="shared" si="10"/>
        <v>-2.3198383596497729E-3</v>
      </c>
      <c r="K160" s="148">
        <v>156.38999999999999</v>
      </c>
      <c r="L160" s="231">
        <f t="shared" si="11"/>
        <v>-1.4742014742014753E-2</v>
      </c>
      <c r="M160" s="148">
        <v>49.72</v>
      </c>
      <c r="N160" s="216">
        <f t="shared" si="12"/>
        <v>6.0374320788891822E-4</v>
      </c>
      <c r="O160" s="196"/>
    </row>
    <row r="161" spans="1:15" ht="16.5">
      <c r="A161" s="215" t="s">
        <v>312</v>
      </c>
      <c r="C161" s="214">
        <v>14810.6</v>
      </c>
      <c r="D161" s="231">
        <f t="shared" si="7"/>
        <v>-2.9379575198736463E-2</v>
      </c>
      <c r="E161" s="236">
        <v>74.3</v>
      </c>
      <c r="F161" s="231">
        <f t="shared" si="8"/>
        <v>-1.7466075507188705E-3</v>
      </c>
      <c r="G161" s="145">
        <v>141.9</v>
      </c>
      <c r="H161" s="216">
        <f t="shared" si="9"/>
        <v>-1.0943054297065546E-2</v>
      </c>
      <c r="I161" s="236">
        <v>132.79</v>
      </c>
      <c r="J161" s="231">
        <f t="shared" si="10"/>
        <v>-3.9753975397539554E-3</v>
      </c>
      <c r="K161" s="148">
        <v>153.15</v>
      </c>
      <c r="L161" s="231">
        <f t="shared" si="11"/>
        <v>-2.0717437176289932E-2</v>
      </c>
      <c r="M161" s="148">
        <v>49.78</v>
      </c>
      <c r="N161" s="216">
        <f t="shared" si="12"/>
        <v>1.2067578439260984E-3</v>
      </c>
      <c r="O161" s="196"/>
    </row>
    <row r="162" spans="1:15" ht="16.5">
      <c r="A162" s="215" t="s">
        <v>313</v>
      </c>
      <c r="C162" s="214">
        <v>14898.7</v>
      </c>
      <c r="D162" s="231">
        <f t="shared" si="7"/>
        <v>5.9484423318434398E-3</v>
      </c>
      <c r="E162" s="236">
        <v>75.540000000000006</v>
      </c>
      <c r="F162" s="231">
        <f t="shared" si="8"/>
        <v>1.6689098250336487E-2</v>
      </c>
      <c r="G162" s="145">
        <v>144.35</v>
      </c>
      <c r="H162" s="216">
        <f t="shared" si="9"/>
        <v>1.7265680056377741E-2</v>
      </c>
      <c r="I162" s="236">
        <v>135.54</v>
      </c>
      <c r="J162" s="231">
        <f t="shared" si="10"/>
        <v>2.0709390767376989E-2</v>
      </c>
      <c r="K162" s="148">
        <v>153.72</v>
      </c>
      <c r="L162" s="231">
        <f t="shared" si="11"/>
        <v>3.7218413320274646E-3</v>
      </c>
      <c r="M162" s="148">
        <v>50.92</v>
      </c>
      <c r="N162" s="216">
        <f t="shared" si="12"/>
        <v>2.2900763358778553E-2</v>
      </c>
      <c r="O162" s="196"/>
    </row>
    <row r="163" spans="1:15" ht="16.5">
      <c r="A163" s="215" t="s">
        <v>314</v>
      </c>
      <c r="C163" s="214">
        <v>15128.6</v>
      </c>
      <c r="D163" s="231">
        <f t="shared" si="7"/>
        <v>1.5430876519427761E-2</v>
      </c>
      <c r="E163" s="236">
        <v>79.010000000000005</v>
      </c>
      <c r="F163" s="231">
        <f t="shared" si="8"/>
        <v>4.593592798517343E-2</v>
      </c>
      <c r="G163" s="145">
        <v>151.6</v>
      </c>
      <c r="H163" s="216">
        <f t="shared" si="9"/>
        <v>5.0225147211638399E-2</v>
      </c>
      <c r="I163" s="236">
        <v>142.47</v>
      </c>
      <c r="J163" s="231">
        <f t="shared" si="10"/>
        <v>5.1128818061088932E-2</v>
      </c>
      <c r="K163" s="148">
        <v>157.56</v>
      </c>
      <c r="L163" s="231">
        <f t="shared" si="11"/>
        <v>2.4980483996877467E-2</v>
      </c>
      <c r="M163" s="148">
        <v>52.6</v>
      </c>
      <c r="N163" s="216">
        <f t="shared" si="12"/>
        <v>3.2992930086410022E-2</v>
      </c>
      <c r="O163" s="196"/>
    </row>
    <row r="164" spans="1:15" ht="16.5">
      <c r="A164" s="215" t="s">
        <v>315</v>
      </c>
      <c r="C164" s="214">
        <v>15167.8</v>
      </c>
      <c r="D164" s="231">
        <f t="shared" si="7"/>
        <v>2.5911188080853798E-3</v>
      </c>
      <c r="E164" s="236">
        <v>80.17</v>
      </c>
      <c r="F164" s="231">
        <f t="shared" si="8"/>
        <v>1.4681685862548921E-2</v>
      </c>
      <c r="G164" s="145">
        <v>152.44</v>
      </c>
      <c r="H164" s="216">
        <f t="shared" si="9"/>
        <v>5.5408970976253968E-3</v>
      </c>
      <c r="I164" s="236">
        <v>142.56</v>
      </c>
      <c r="J164" s="231">
        <f t="shared" si="10"/>
        <v>6.317119393557391E-4</v>
      </c>
      <c r="K164" s="148">
        <v>159.38999999999999</v>
      </c>
      <c r="L164" s="231">
        <f t="shared" si="11"/>
        <v>1.1614623000761437E-2</v>
      </c>
      <c r="M164" s="148">
        <v>53.83</v>
      </c>
      <c r="N164" s="216">
        <f t="shared" si="12"/>
        <v>2.3384030418250878E-2</v>
      </c>
      <c r="O164" s="196"/>
    </row>
    <row r="165" spans="1:15" ht="16.5">
      <c r="A165" s="215" t="s">
        <v>316</v>
      </c>
      <c r="C165" s="214">
        <v>15055.4</v>
      </c>
      <c r="D165" s="231">
        <f t="shared" si="7"/>
        <v>-7.4104352641780613E-3</v>
      </c>
      <c r="E165" s="236">
        <v>79.38</v>
      </c>
      <c r="F165" s="231">
        <f t="shared" si="8"/>
        <v>-9.8540601222403268E-3</v>
      </c>
      <c r="G165" s="145">
        <v>154.69</v>
      </c>
      <c r="H165" s="216">
        <f t="shared" si="9"/>
        <v>1.4759905536604556E-2</v>
      </c>
      <c r="I165" s="236">
        <v>143.82</v>
      </c>
      <c r="J165" s="231">
        <f t="shared" si="10"/>
        <v>8.8383838383838675E-3</v>
      </c>
      <c r="K165" s="148">
        <v>161.25</v>
      </c>
      <c r="L165" s="231">
        <f t="shared" si="11"/>
        <v>1.1669489930359545E-2</v>
      </c>
      <c r="M165" s="148">
        <v>54.89</v>
      </c>
      <c r="N165" s="216">
        <f t="shared" si="12"/>
        <v>1.9691621772246037E-2</v>
      </c>
      <c r="O165" s="196"/>
    </row>
    <row r="166" spans="1:15" ht="16.5">
      <c r="A166" s="215" t="s">
        <v>317</v>
      </c>
      <c r="C166" s="214">
        <v>15201.1</v>
      </c>
      <c r="D166" s="231">
        <f t="shared" si="7"/>
        <v>9.6775907647754789E-3</v>
      </c>
      <c r="E166" s="236">
        <v>76.61</v>
      </c>
      <c r="F166" s="231">
        <f t="shared" si="8"/>
        <v>-3.4895439657344318E-2</v>
      </c>
      <c r="G166" s="145">
        <v>154.34</v>
      </c>
      <c r="H166" s="216">
        <f t="shared" si="9"/>
        <v>-2.2625896955200675E-3</v>
      </c>
      <c r="I166" s="236">
        <v>141.28</v>
      </c>
      <c r="J166" s="231">
        <f t="shared" si="10"/>
        <v>-1.7660965095257941E-2</v>
      </c>
      <c r="K166" s="148">
        <v>161.87</v>
      </c>
      <c r="L166" s="231">
        <f t="shared" si="11"/>
        <v>3.8449612403101963E-3</v>
      </c>
      <c r="M166" s="148">
        <v>54.25</v>
      </c>
      <c r="N166" s="216">
        <f t="shared" si="12"/>
        <v>-1.1659683002368415E-2</v>
      </c>
      <c r="O166" s="196"/>
    </row>
    <row r="167" spans="1:15" ht="16.5">
      <c r="A167" s="215" t="s">
        <v>318</v>
      </c>
      <c r="C167" s="214">
        <v>15512.6</v>
      </c>
      <c r="D167" s="231">
        <f t="shared" si="7"/>
        <v>2.0491938083428085E-2</v>
      </c>
      <c r="E167" s="236">
        <v>75.13</v>
      </c>
      <c r="F167" s="231">
        <f t="shared" si="8"/>
        <v>-1.9318626811121287E-2</v>
      </c>
      <c r="G167" s="145">
        <v>150.1</v>
      </c>
      <c r="H167" s="216">
        <f t="shared" si="9"/>
        <v>-2.7471815472333905E-2</v>
      </c>
      <c r="I167" s="236">
        <v>137.58000000000001</v>
      </c>
      <c r="J167" s="231">
        <f t="shared" si="10"/>
        <v>-2.6189127972819803E-2</v>
      </c>
      <c r="K167" s="148">
        <v>159.65</v>
      </c>
      <c r="L167" s="231">
        <f t="shared" si="11"/>
        <v>-1.3714709334651243E-2</v>
      </c>
      <c r="M167" s="148">
        <v>53.54</v>
      </c>
      <c r="N167" s="216">
        <f t="shared" si="12"/>
        <v>-1.3087557603686628E-2</v>
      </c>
      <c r="O167" s="196"/>
    </row>
    <row r="168" spans="1:15" ht="16.5">
      <c r="A168" s="215" t="s">
        <v>319</v>
      </c>
      <c r="C168" s="214">
        <v>15297.8</v>
      </c>
      <c r="D168" s="231">
        <f t="shared" si="7"/>
        <v>-1.3846808400912902E-2</v>
      </c>
      <c r="E168" s="236">
        <v>74.62</v>
      </c>
      <c r="F168" s="231">
        <f t="shared" si="8"/>
        <v>-6.7882337282043625E-3</v>
      </c>
      <c r="G168" s="145">
        <v>149.51</v>
      </c>
      <c r="H168" s="216">
        <f t="shared" si="9"/>
        <v>-3.9307128580946538E-3</v>
      </c>
      <c r="I168" s="236">
        <v>134.75</v>
      </c>
      <c r="J168" s="231">
        <f t="shared" si="10"/>
        <v>-2.0569850268934542E-2</v>
      </c>
      <c r="K168" s="148">
        <v>163.1</v>
      </c>
      <c r="L168" s="231">
        <f t="shared" si="11"/>
        <v>2.1609771374882403E-2</v>
      </c>
      <c r="M168" s="148">
        <v>52.81</v>
      </c>
      <c r="N168" s="216">
        <f t="shared" si="12"/>
        <v>-1.3634665670526624E-2</v>
      </c>
      <c r="O168" s="196"/>
    </row>
    <row r="169" spans="1:15" ht="16.5">
      <c r="A169" s="215" t="s">
        <v>320</v>
      </c>
      <c r="C169" s="214">
        <v>15304.1</v>
      </c>
      <c r="D169" s="231">
        <f t="shared" si="7"/>
        <v>4.1182392239424992E-4</v>
      </c>
      <c r="E169" s="236">
        <v>74.7</v>
      </c>
      <c r="F169" s="231">
        <f t="shared" si="8"/>
        <v>1.0720986330741145E-3</v>
      </c>
      <c r="G169" s="145">
        <v>147.09</v>
      </c>
      <c r="H169" s="216">
        <f t="shared" si="9"/>
        <v>-1.618620828038253E-2</v>
      </c>
      <c r="I169" s="236">
        <v>133.36000000000001</v>
      </c>
      <c r="J169" s="231">
        <f t="shared" si="10"/>
        <v>-1.0315398886827309E-2</v>
      </c>
      <c r="K169" s="148">
        <v>153.94</v>
      </c>
      <c r="L169" s="231">
        <f t="shared" si="11"/>
        <v>-5.6161863887185803E-2</v>
      </c>
      <c r="M169" s="148">
        <v>51.8</v>
      </c>
      <c r="N169" s="216">
        <f t="shared" si="12"/>
        <v>-1.9125165688316681E-2</v>
      </c>
      <c r="O169" s="196"/>
    </row>
    <row r="170" spans="1:15" ht="16.5">
      <c r="A170" s="215" t="s">
        <v>321</v>
      </c>
      <c r="C170" s="214">
        <v>14758.6</v>
      </c>
      <c r="D170" s="231">
        <f t="shared" si="7"/>
        <v>-3.5644043099561595E-2</v>
      </c>
      <c r="E170" s="236">
        <v>73.7</v>
      </c>
      <c r="F170" s="231">
        <f t="shared" si="8"/>
        <v>-1.3386880856760319E-2</v>
      </c>
      <c r="G170" s="145">
        <v>145.80000000000001</v>
      </c>
      <c r="H170" s="216">
        <f t="shared" si="9"/>
        <v>-8.7701407301651324E-3</v>
      </c>
      <c r="I170" s="236">
        <v>129.88</v>
      </c>
      <c r="J170" s="231">
        <f t="shared" si="10"/>
        <v>-2.6094781043791371E-2</v>
      </c>
      <c r="K170" s="148">
        <v>151.72999999999999</v>
      </c>
      <c r="L170" s="231">
        <f t="shared" si="11"/>
        <v>-1.435624269195801E-2</v>
      </c>
      <c r="M170" s="148">
        <v>51.53</v>
      </c>
      <c r="N170" s="216">
        <f t="shared" si="12"/>
        <v>-5.2123552123551908E-3</v>
      </c>
      <c r="O170" s="196"/>
    </row>
    <row r="171" spans="1:15" ht="16.5">
      <c r="A171" s="215" t="s">
        <v>322</v>
      </c>
      <c r="C171" s="214">
        <v>14514.6</v>
      </c>
      <c r="D171" s="231">
        <f t="shared" si="7"/>
        <v>-1.6532733457102933E-2</v>
      </c>
      <c r="E171" s="236">
        <v>71.78</v>
      </c>
      <c r="F171" s="231">
        <f t="shared" si="8"/>
        <v>-2.6051560379918626E-2</v>
      </c>
      <c r="G171" s="145">
        <v>142.84</v>
      </c>
      <c r="H171" s="216">
        <f t="shared" si="9"/>
        <v>-2.0301783264746298E-2</v>
      </c>
      <c r="I171" s="236">
        <v>126.71</v>
      </c>
      <c r="J171" s="231">
        <f t="shared" si="10"/>
        <v>-2.4407145056975721E-2</v>
      </c>
      <c r="K171" s="148">
        <v>150.11000000000001</v>
      </c>
      <c r="L171" s="231">
        <f t="shared" si="11"/>
        <v>-1.0676860212218919E-2</v>
      </c>
      <c r="M171" s="148">
        <v>49.69</v>
      </c>
      <c r="N171" s="216">
        <f t="shared" si="12"/>
        <v>-3.5707354938870672E-2</v>
      </c>
      <c r="O171" s="196"/>
    </row>
    <row r="172" spans="1:15" ht="16.5">
      <c r="A172" s="215" t="s">
        <v>323</v>
      </c>
      <c r="C172" s="214">
        <v>14471.1</v>
      </c>
      <c r="D172" s="231">
        <f t="shared" ref="D172:D235" si="13">C172/C171-1</f>
        <v>-2.9969823488074088E-3</v>
      </c>
      <c r="E172" s="236">
        <v>71.349999999999994</v>
      </c>
      <c r="F172" s="231">
        <f t="shared" ref="F172:F235" si="14">E172/E171-1</f>
        <v>-5.9905266090833909E-3</v>
      </c>
      <c r="G172" s="145">
        <v>137.04</v>
      </c>
      <c r="H172" s="216">
        <f t="shared" ref="H172:H235" si="15">G172/G171-1</f>
        <v>-4.0604872584710239E-2</v>
      </c>
      <c r="I172" s="236">
        <v>122.48</v>
      </c>
      <c r="J172" s="231">
        <f t="shared" ref="J172:J235" si="16">I172/I171-1</f>
        <v>-3.338331623391988E-2</v>
      </c>
      <c r="K172" s="148">
        <v>151.57</v>
      </c>
      <c r="L172" s="231">
        <f t="shared" ref="L172:L235" si="17">K172/K171-1</f>
        <v>9.7262007860901001E-3</v>
      </c>
      <c r="M172" s="148">
        <v>48.57</v>
      </c>
      <c r="N172" s="216">
        <f t="shared" ref="N172:N235" si="18">M172/M171-1</f>
        <v>-2.2539746427852614E-2</v>
      </c>
      <c r="O172" s="196"/>
    </row>
    <row r="173" spans="1:15" ht="16.5">
      <c r="A173" s="215" t="s">
        <v>324</v>
      </c>
      <c r="C173" s="214">
        <v>14830.9</v>
      </c>
      <c r="D173" s="231">
        <f t="shared" si="13"/>
        <v>2.4863348328737933E-2</v>
      </c>
      <c r="E173" s="236">
        <v>70.92</v>
      </c>
      <c r="F173" s="231">
        <f t="shared" si="14"/>
        <v>-6.0266292922213083E-3</v>
      </c>
      <c r="G173" s="145">
        <v>136.1</v>
      </c>
      <c r="H173" s="216">
        <f t="shared" si="15"/>
        <v>-6.8593111500291348E-3</v>
      </c>
      <c r="I173" s="236">
        <v>121.96</v>
      </c>
      <c r="J173" s="231">
        <f t="shared" si="16"/>
        <v>-4.2455911169171356E-3</v>
      </c>
      <c r="K173" s="148">
        <v>150.71</v>
      </c>
      <c r="L173" s="231">
        <f t="shared" si="17"/>
        <v>-5.6739460315364809E-3</v>
      </c>
      <c r="M173" s="148">
        <v>48.6</v>
      </c>
      <c r="N173" s="216">
        <f t="shared" si="18"/>
        <v>6.1766522544792757E-4</v>
      </c>
      <c r="O173" s="196"/>
    </row>
    <row r="174" spans="1:15" ht="16.5">
      <c r="A174" s="215" t="s">
        <v>325</v>
      </c>
      <c r="C174" s="214">
        <v>15342.7</v>
      </c>
      <c r="D174" s="231">
        <f t="shared" si="13"/>
        <v>3.4509031818702907E-2</v>
      </c>
      <c r="E174" s="236">
        <v>71.819999999999993</v>
      </c>
      <c r="F174" s="231">
        <f t="shared" si="14"/>
        <v>1.269035532994911E-2</v>
      </c>
      <c r="G174" s="145">
        <v>136.51</v>
      </c>
      <c r="H174" s="216">
        <f t="shared" si="15"/>
        <v>3.0124908155768626E-3</v>
      </c>
      <c r="I174" s="236">
        <v>123.7</v>
      </c>
      <c r="J174" s="231">
        <f t="shared" si="16"/>
        <v>1.4266972777960074E-2</v>
      </c>
      <c r="K174" s="148">
        <v>151.22999999999999</v>
      </c>
      <c r="L174" s="231">
        <f t="shared" si="17"/>
        <v>3.4503350806183164E-3</v>
      </c>
      <c r="M174" s="148">
        <v>49.64</v>
      </c>
      <c r="N174" s="216">
        <f t="shared" si="18"/>
        <v>2.1399176954732591E-2</v>
      </c>
      <c r="O174" s="196"/>
    </row>
    <row r="175" spans="1:15" ht="16.5">
      <c r="A175" s="215" t="s">
        <v>326</v>
      </c>
      <c r="C175" s="214">
        <v>15347.3</v>
      </c>
      <c r="D175" s="231">
        <f t="shared" si="13"/>
        <v>2.9981685101043709E-4</v>
      </c>
      <c r="E175" s="236">
        <v>72.75</v>
      </c>
      <c r="F175" s="231">
        <f t="shared" si="14"/>
        <v>1.2949039264828821E-2</v>
      </c>
      <c r="G175" s="145">
        <v>138.08000000000001</v>
      </c>
      <c r="H175" s="216">
        <f t="shared" si="15"/>
        <v>1.1500988938539569E-2</v>
      </c>
      <c r="I175" s="236">
        <v>125.69</v>
      </c>
      <c r="J175" s="231">
        <f t="shared" si="16"/>
        <v>1.6087308003233547E-2</v>
      </c>
      <c r="K175" s="148">
        <v>155.21</v>
      </c>
      <c r="L175" s="231">
        <f t="shared" si="17"/>
        <v>2.6317529590689892E-2</v>
      </c>
      <c r="M175" s="148">
        <v>49.96</v>
      </c>
      <c r="N175" s="216">
        <f t="shared" si="18"/>
        <v>6.4464141821112264E-3</v>
      </c>
      <c r="O175" s="196"/>
    </row>
    <row r="176" spans="1:15" ht="16.5">
      <c r="A176" s="215" t="s">
        <v>327</v>
      </c>
      <c r="C176" s="214">
        <v>15732.8</v>
      </c>
      <c r="D176" s="231">
        <f t="shared" si="13"/>
        <v>2.5118424739204892E-2</v>
      </c>
      <c r="E176" s="236">
        <v>71.739999999999995</v>
      </c>
      <c r="F176" s="231">
        <f t="shared" si="14"/>
        <v>-1.3883161512027509E-2</v>
      </c>
      <c r="G176" s="145">
        <v>136.55000000000001</v>
      </c>
      <c r="H176" s="216">
        <f t="shared" si="15"/>
        <v>-1.1080533024333761E-2</v>
      </c>
      <c r="I176" s="236">
        <v>125.21</v>
      </c>
      <c r="J176" s="231">
        <f t="shared" si="16"/>
        <v>-3.8189195640067064E-3</v>
      </c>
      <c r="K176" s="148">
        <v>156.62</v>
      </c>
      <c r="L176" s="231">
        <f t="shared" si="17"/>
        <v>9.0844662070743709E-3</v>
      </c>
      <c r="M176" s="148">
        <v>50.54</v>
      </c>
      <c r="N176" s="216">
        <f t="shared" si="18"/>
        <v>1.1609287429943826E-2</v>
      </c>
      <c r="O176" s="196"/>
    </row>
    <row r="177" spans="1:15" ht="16.5">
      <c r="A177" s="215" t="s">
        <v>328</v>
      </c>
      <c r="C177" s="214">
        <v>15787.2</v>
      </c>
      <c r="D177" s="231">
        <f t="shared" si="13"/>
        <v>3.4577443303163147E-3</v>
      </c>
      <c r="E177" s="236">
        <v>72.709999999999994</v>
      </c>
      <c r="F177" s="231">
        <f t="shared" si="14"/>
        <v>1.3521048229718335E-2</v>
      </c>
      <c r="G177" s="145">
        <v>135.83000000000001</v>
      </c>
      <c r="H177" s="216">
        <f t="shared" si="15"/>
        <v>-5.2727938484071757E-3</v>
      </c>
      <c r="I177" s="236">
        <v>128.1</v>
      </c>
      <c r="J177" s="231">
        <f t="shared" si="16"/>
        <v>2.3081223544445306E-2</v>
      </c>
      <c r="K177" s="148">
        <v>161.07</v>
      </c>
      <c r="L177" s="231">
        <f t="shared" si="17"/>
        <v>2.8412718682160554E-2</v>
      </c>
      <c r="M177" s="148">
        <v>49.13</v>
      </c>
      <c r="N177" s="216">
        <f t="shared" si="18"/>
        <v>-2.7898694103680177E-2</v>
      </c>
      <c r="O177" s="196"/>
    </row>
    <row r="178" spans="1:15" ht="16.5">
      <c r="A178" s="215" t="s">
        <v>329</v>
      </c>
      <c r="C178" s="214">
        <v>15809.7</v>
      </c>
      <c r="D178" s="231">
        <f t="shared" si="13"/>
        <v>1.4252052295531392E-3</v>
      </c>
      <c r="E178" s="236">
        <v>72.05</v>
      </c>
      <c r="F178" s="231">
        <f t="shared" si="14"/>
        <v>-9.0771558245082984E-3</v>
      </c>
      <c r="G178" s="145">
        <v>140.28</v>
      </c>
      <c r="H178" s="216">
        <f t="shared" si="15"/>
        <v>3.2761540160494595E-2</v>
      </c>
      <c r="I178" s="236">
        <v>127.97</v>
      </c>
      <c r="J178" s="231">
        <f t="shared" si="16"/>
        <v>-1.0148321623730805E-3</v>
      </c>
      <c r="K178" s="148">
        <v>161.05000000000001</v>
      </c>
      <c r="L178" s="231">
        <f t="shared" si="17"/>
        <v>-1.2416961569494678E-4</v>
      </c>
      <c r="M178" s="148">
        <v>50.03</v>
      </c>
      <c r="N178" s="216">
        <f t="shared" si="18"/>
        <v>1.8318746183594525E-2</v>
      </c>
      <c r="O178" s="196"/>
    </row>
    <row r="179" spans="1:15" ht="16.5">
      <c r="A179" s="215" t="s">
        <v>330</v>
      </c>
      <c r="C179" s="214">
        <v>15681.8</v>
      </c>
      <c r="D179" s="231">
        <f t="shared" si="13"/>
        <v>-8.0899700816587927E-3</v>
      </c>
      <c r="E179" s="236">
        <v>70.94</v>
      </c>
      <c r="F179" s="231">
        <f t="shared" si="14"/>
        <v>-1.5405968077723764E-2</v>
      </c>
      <c r="G179" s="145">
        <v>138.72999999999999</v>
      </c>
      <c r="H179" s="216">
        <f t="shared" si="15"/>
        <v>-1.1049329911605454E-2</v>
      </c>
      <c r="I179" s="236">
        <v>127.96</v>
      </c>
      <c r="J179" s="231">
        <f t="shared" si="16"/>
        <v>-7.8143314839462796E-5</v>
      </c>
      <c r="K179" s="148">
        <v>166.01</v>
      </c>
      <c r="L179" s="231">
        <f t="shared" si="17"/>
        <v>3.0797888854392941E-2</v>
      </c>
      <c r="M179" s="148">
        <v>49.56</v>
      </c>
      <c r="N179" s="216">
        <f t="shared" si="18"/>
        <v>-9.3943633819707495E-3</v>
      </c>
      <c r="O179" s="196"/>
    </row>
    <row r="180" spans="1:15" ht="16.5">
      <c r="A180" s="215" t="s">
        <v>331</v>
      </c>
      <c r="C180" s="214">
        <v>15504.1</v>
      </c>
      <c r="D180" s="231">
        <f t="shared" si="13"/>
        <v>-1.1331607340993921E-2</v>
      </c>
      <c r="E180" s="236">
        <v>74.03</v>
      </c>
      <c r="F180" s="231">
        <f t="shared" si="14"/>
        <v>4.3557936284183807E-2</v>
      </c>
      <c r="G180" s="145">
        <v>140.15</v>
      </c>
      <c r="H180" s="216">
        <f t="shared" si="15"/>
        <v>1.0235709651841729E-2</v>
      </c>
      <c r="I180" s="236">
        <v>131.44</v>
      </c>
      <c r="J180" s="231">
        <f t="shared" si="16"/>
        <v>2.7195998749609318E-2</v>
      </c>
      <c r="K180" s="148">
        <v>167.48</v>
      </c>
      <c r="L180" s="231">
        <f t="shared" si="17"/>
        <v>8.8548882597434542E-3</v>
      </c>
      <c r="M180" s="148">
        <v>50.08</v>
      </c>
      <c r="N180" s="216">
        <f t="shared" si="18"/>
        <v>1.0492332526230719E-2</v>
      </c>
      <c r="O180" s="196"/>
    </row>
    <row r="181" spans="1:15" ht="16.5">
      <c r="A181" s="215" t="s">
        <v>332</v>
      </c>
      <c r="C181" s="214">
        <v>15464.2</v>
      </c>
      <c r="D181" s="231">
        <f t="shared" si="13"/>
        <v>-2.5735128127398754E-3</v>
      </c>
      <c r="E181" s="236">
        <v>76.349999999999994</v>
      </c>
      <c r="F181" s="231">
        <f t="shared" si="14"/>
        <v>3.1338646494664335E-2</v>
      </c>
      <c r="G181" s="145">
        <v>149.35</v>
      </c>
      <c r="H181" s="216">
        <f t="shared" si="15"/>
        <v>6.5643952907598946E-2</v>
      </c>
      <c r="I181" s="236">
        <v>135.30000000000001</v>
      </c>
      <c r="J181" s="231">
        <f t="shared" si="16"/>
        <v>2.9367011564211953E-2</v>
      </c>
      <c r="K181" s="148">
        <v>172.11</v>
      </c>
      <c r="L181" s="231">
        <f t="shared" si="17"/>
        <v>2.7645091951277845E-2</v>
      </c>
      <c r="M181" s="148">
        <v>50.62</v>
      </c>
      <c r="N181" s="216">
        <f t="shared" si="18"/>
        <v>1.0782747603833798E-2</v>
      </c>
      <c r="O181" s="196"/>
    </row>
    <row r="182" spans="1:15" ht="16.5">
      <c r="A182" s="215" t="s">
        <v>333</v>
      </c>
      <c r="C182" s="214">
        <v>15053.2</v>
      </c>
      <c r="D182" s="231">
        <f t="shared" si="13"/>
        <v>-2.6577514517401535E-2</v>
      </c>
      <c r="E182" s="236">
        <v>77.72</v>
      </c>
      <c r="F182" s="231">
        <f t="shared" si="14"/>
        <v>1.7943680419122421E-2</v>
      </c>
      <c r="G182" s="145">
        <v>149.12</v>
      </c>
      <c r="H182" s="216">
        <f t="shared" si="15"/>
        <v>-1.5400066956812175E-3</v>
      </c>
      <c r="I182" s="236">
        <v>134.83000000000001</v>
      </c>
      <c r="J182" s="231">
        <f t="shared" si="16"/>
        <v>-3.4737620103473255E-3</v>
      </c>
      <c r="K182" s="148">
        <v>176.01</v>
      </c>
      <c r="L182" s="231">
        <f t="shared" si="17"/>
        <v>2.2659926791005702E-2</v>
      </c>
      <c r="M182" s="148">
        <v>50</v>
      </c>
      <c r="N182" s="216">
        <f t="shared" si="18"/>
        <v>-1.2248123271434208E-2</v>
      </c>
      <c r="O182" s="196"/>
    </row>
    <row r="183" spans="1:15" ht="16.5">
      <c r="A183" s="215" t="s">
        <v>334</v>
      </c>
      <c r="C183" s="214">
        <v>15033.5</v>
      </c>
      <c r="D183" s="231">
        <f t="shared" si="13"/>
        <v>-1.3086918396089109E-3</v>
      </c>
      <c r="E183" s="236">
        <v>78.209999999999994</v>
      </c>
      <c r="F183" s="231">
        <f t="shared" si="14"/>
        <v>6.3046834791558037E-3</v>
      </c>
      <c r="G183" s="145">
        <v>150.44</v>
      </c>
      <c r="H183" s="216">
        <f t="shared" si="15"/>
        <v>8.8519313304720182E-3</v>
      </c>
      <c r="I183" s="236">
        <v>134.84</v>
      </c>
      <c r="J183" s="231">
        <f t="shared" si="16"/>
        <v>7.4167470147434855E-5</v>
      </c>
      <c r="K183" s="148">
        <v>175.4</v>
      </c>
      <c r="L183" s="231">
        <f t="shared" si="17"/>
        <v>-3.4657121754444464E-3</v>
      </c>
      <c r="M183" s="148">
        <v>50.03</v>
      </c>
      <c r="N183" s="216">
        <f t="shared" si="18"/>
        <v>5.9999999999993392E-4</v>
      </c>
      <c r="O183" s="196"/>
    </row>
    <row r="184" spans="1:15" ht="16.5">
      <c r="A184" s="215" t="s">
        <v>335</v>
      </c>
      <c r="C184" s="214">
        <v>14866.8</v>
      </c>
      <c r="D184" s="231">
        <f t="shared" si="13"/>
        <v>-1.1088568862873016E-2</v>
      </c>
      <c r="E184" s="236">
        <v>77.13</v>
      </c>
      <c r="F184" s="231">
        <f t="shared" si="14"/>
        <v>-1.3808975834292303E-2</v>
      </c>
      <c r="G184" s="145">
        <v>149.24</v>
      </c>
      <c r="H184" s="216">
        <f t="shared" si="15"/>
        <v>-7.9766019675617805E-3</v>
      </c>
      <c r="I184" s="236">
        <v>134.13</v>
      </c>
      <c r="J184" s="231">
        <f t="shared" si="16"/>
        <v>-5.2654998516761253E-3</v>
      </c>
      <c r="K184" s="148">
        <v>174.07</v>
      </c>
      <c r="L184" s="231">
        <f t="shared" si="17"/>
        <v>-7.5826681870012624E-3</v>
      </c>
      <c r="M184" s="148">
        <v>50.25</v>
      </c>
      <c r="N184" s="216">
        <f t="shared" si="18"/>
        <v>4.3973615830501522E-3</v>
      </c>
      <c r="O184" s="196"/>
    </row>
    <row r="185" spans="1:15" ht="16.5">
      <c r="A185" s="215" t="s">
        <v>336</v>
      </c>
      <c r="C185" s="214">
        <v>14920.2</v>
      </c>
      <c r="D185" s="231">
        <f t="shared" si="13"/>
        <v>3.5918960368068742E-3</v>
      </c>
      <c r="E185" s="236">
        <v>77.22</v>
      </c>
      <c r="F185" s="231">
        <f t="shared" si="14"/>
        <v>1.166861143524045E-3</v>
      </c>
      <c r="G185" s="145">
        <v>149.02000000000001</v>
      </c>
      <c r="H185" s="216">
        <f t="shared" si="15"/>
        <v>-1.4741356204770462E-3</v>
      </c>
      <c r="I185" s="236">
        <v>134.21</v>
      </c>
      <c r="J185" s="231">
        <f t="shared" si="16"/>
        <v>5.9643629314853897E-4</v>
      </c>
      <c r="K185" s="148">
        <v>174.86</v>
      </c>
      <c r="L185" s="231">
        <f t="shared" si="17"/>
        <v>4.5384040903087008E-3</v>
      </c>
      <c r="M185" s="148">
        <v>50.04</v>
      </c>
      <c r="N185" s="216">
        <f t="shared" si="18"/>
        <v>-4.179104477611939E-3</v>
      </c>
      <c r="O185" s="196"/>
    </row>
    <row r="186" spans="1:15" ht="16.5">
      <c r="A186" s="215" t="s">
        <v>337</v>
      </c>
      <c r="C186" s="214">
        <v>15240.9</v>
      </c>
      <c r="D186" s="231">
        <f t="shared" si="13"/>
        <v>2.149434994168975E-2</v>
      </c>
      <c r="E186" s="236">
        <v>76.69</v>
      </c>
      <c r="F186" s="231">
        <f t="shared" si="14"/>
        <v>-6.8635068635068963E-3</v>
      </c>
      <c r="G186" s="145">
        <v>148.27000000000001</v>
      </c>
      <c r="H186" s="216">
        <f t="shared" si="15"/>
        <v>-5.0328814924170961E-3</v>
      </c>
      <c r="I186" s="236">
        <v>135</v>
      </c>
      <c r="J186" s="231">
        <f t="shared" si="16"/>
        <v>5.8862975933238193E-3</v>
      </c>
      <c r="K186" s="148">
        <v>175.66</v>
      </c>
      <c r="L186" s="231">
        <f t="shared" si="17"/>
        <v>4.5750886423423509E-3</v>
      </c>
      <c r="M186" s="148">
        <v>50.33</v>
      </c>
      <c r="N186" s="216">
        <f t="shared" si="18"/>
        <v>5.7953637090326637E-3</v>
      </c>
      <c r="O186" s="196"/>
    </row>
    <row r="187" spans="1:15" ht="16.5">
      <c r="A187" s="215" t="s">
        <v>338</v>
      </c>
      <c r="C187" s="214">
        <v>15350.1</v>
      </c>
      <c r="D187" s="231">
        <f t="shared" si="13"/>
        <v>7.1649312048500668E-3</v>
      </c>
      <c r="E187" s="236">
        <v>75.64</v>
      </c>
      <c r="F187" s="231">
        <f t="shared" si="14"/>
        <v>-1.3691485200156395E-2</v>
      </c>
      <c r="G187" s="145">
        <v>144.53</v>
      </c>
      <c r="H187" s="216">
        <f t="shared" si="15"/>
        <v>-2.5224253051864931E-2</v>
      </c>
      <c r="I187" s="236">
        <v>131.55000000000001</v>
      </c>
      <c r="J187" s="231">
        <f t="shared" si="16"/>
        <v>-2.5555555555555443E-2</v>
      </c>
      <c r="K187" s="148">
        <v>174.66</v>
      </c>
      <c r="L187" s="231">
        <f t="shared" si="17"/>
        <v>-5.6928156666287144E-3</v>
      </c>
      <c r="M187" s="148">
        <v>49.4</v>
      </c>
      <c r="N187" s="216">
        <f t="shared" si="18"/>
        <v>-1.8478044903636026E-2</v>
      </c>
      <c r="O187" s="196"/>
    </row>
    <row r="188" spans="1:15" ht="16.5">
      <c r="A188" s="215" t="s">
        <v>339</v>
      </c>
      <c r="C188" s="214">
        <v>15180.2</v>
      </c>
      <c r="D188" s="231">
        <f t="shared" si="13"/>
        <v>-1.1068331802398634E-2</v>
      </c>
      <c r="E188" s="236">
        <v>76.09</v>
      </c>
      <c r="F188" s="231">
        <f t="shared" si="14"/>
        <v>5.9492332099417844E-3</v>
      </c>
      <c r="G188" s="145">
        <v>142.83000000000001</v>
      </c>
      <c r="H188" s="216">
        <f t="shared" si="15"/>
        <v>-1.17622638898498E-2</v>
      </c>
      <c r="I188" s="236">
        <v>131.6</v>
      </c>
      <c r="J188" s="231">
        <f t="shared" si="16"/>
        <v>3.8008361839581006E-4</v>
      </c>
      <c r="K188" s="148">
        <v>174.83</v>
      </c>
      <c r="L188" s="231">
        <f t="shared" si="17"/>
        <v>9.7331959235091858E-4</v>
      </c>
      <c r="M188" s="148">
        <v>48.16</v>
      </c>
      <c r="N188" s="216">
        <f t="shared" si="18"/>
        <v>-2.5101214574898778E-2</v>
      </c>
      <c r="O188" s="196"/>
    </row>
    <row r="189" spans="1:15" ht="16.5">
      <c r="A189" s="215" t="s">
        <v>340</v>
      </c>
      <c r="C189" s="214">
        <v>15071.2</v>
      </c>
      <c r="D189" s="231">
        <f t="shared" si="13"/>
        <v>-7.180406055256161E-3</v>
      </c>
      <c r="E189" s="236">
        <v>74.55</v>
      </c>
      <c r="F189" s="231">
        <f t="shared" si="14"/>
        <v>-2.0239190432382759E-2</v>
      </c>
      <c r="G189" s="145">
        <v>139.69999999999999</v>
      </c>
      <c r="H189" s="216">
        <f t="shared" si="15"/>
        <v>-2.191416369110144E-2</v>
      </c>
      <c r="I189" s="236">
        <v>126.96</v>
      </c>
      <c r="J189" s="231">
        <f t="shared" si="16"/>
        <v>-3.5258358662613953E-2</v>
      </c>
      <c r="K189" s="148">
        <v>170.25</v>
      </c>
      <c r="L189" s="231">
        <f t="shared" si="17"/>
        <v>-2.619687696619577E-2</v>
      </c>
      <c r="M189" s="148">
        <v>47.25</v>
      </c>
      <c r="N189" s="216">
        <f t="shared" si="18"/>
        <v>-1.8895348837209225E-2</v>
      </c>
      <c r="O189" s="196"/>
    </row>
    <row r="190" spans="1:15" ht="16.5">
      <c r="A190" s="215" t="s">
        <v>341</v>
      </c>
      <c r="C190" s="214">
        <v>14569</v>
      </c>
      <c r="D190" s="231">
        <f t="shared" si="13"/>
        <v>-3.3321832369021753E-2</v>
      </c>
      <c r="E190" s="236">
        <v>73.11</v>
      </c>
      <c r="F190" s="231">
        <f t="shared" si="14"/>
        <v>-1.9315895372233327E-2</v>
      </c>
      <c r="G190" s="145">
        <v>135.06</v>
      </c>
      <c r="H190" s="216">
        <f t="shared" si="15"/>
        <v>-3.3214030064423694E-2</v>
      </c>
      <c r="I190" s="236">
        <v>123.1</v>
      </c>
      <c r="J190" s="231">
        <f t="shared" si="16"/>
        <v>-3.0403276622558262E-2</v>
      </c>
      <c r="K190" s="148">
        <v>166.82</v>
      </c>
      <c r="L190" s="231">
        <f t="shared" si="17"/>
        <v>-2.0146842878120408E-2</v>
      </c>
      <c r="M190" s="148">
        <v>45.99</v>
      </c>
      <c r="N190" s="216">
        <f t="shared" si="18"/>
        <v>-2.6666666666666616E-2</v>
      </c>
      <c r="O190" s="196"/>
    </row>
    <row r="191" spans="1:15" ht="16.5">
      <c r="A191" s="215" t="s">
        <v>342</v>
      </c>
      <c r="C191" s="214">
        <v>14297.1</v>
      </c>
      <c r="D191" s="231">
        <f t="shared" si="13"/>
        <v>-1.8662914407303166E-2</v>
      </c>
      <c r="E191" s="236">
        <v>72.069999999999993</v>
      </c>
      <c r="F191" s="231">
        <f t="shared" si="14"/>
        <v>-1.4225140199699116E-2</v>
      </c>
      <c r="G191" s="145">
        <v>130.96</v>
      </c>
      <c r="H191" s="216">
        <f t="shared" si="15"/>
        <v>-3.0356878424403932E-2</v>
      </c>
      <c r="I191" s="236">
        <v>120.76</v>
      </c>
      <c r="J191" s="231">
        <f t="shared" si="16"/>
        <v>-1.900893582453278E-2</v>
      </c>
      <c r="K191" s="148">
        <v>168.94</v>
      </c>
      <c r="L191" s="231">
        <f t="shared" si="17"/>
        <v>1.2708308356312203E-2</v>
      </c>
      <c r="M191" s="148">
        <v>44.49</v>
      </c>
      <c r="N191" s="216">
        <f t="shared" si="18"/>
        <v>-3.2615786040443573E-2</v>
      </c>
      <c r="O191" s="196"/>
    </row>
    <row r="192" spans="1:15" ht="16.5">
      <c r="A192" s="215" t="s">
        <v>343</v>
      </c>
      <c r="C192" s="214">
        <v>14085.4</v>
      </c>
      <c r="D192" s="231">
        <f t="shared" si="13"/>
        <v>-1.4807198662665888E-2</v>
      </c>
      <c r="E192" s="236">
        <v>71.22</v>
      </c>
      <c r="F192" s="231">
        <f t="shared" si="14"/>
        <v>-1.1794089080060965E-2</v>
      </c>
      <c r="G192" s="145">
        <v>128.35</v>
      </c>
      <c r="H192" s="216">
        <f t="shared" si="15"/>
        <v>-1.9929749541844899E-2</v>
      </c>
      <c r="I192" s="236">
        <v>114</v>
      </c>
      <c r="J192" s="231">
        <f t="shared" si="16"/>
        <v>-5.5978800927459438E-2</v>
      </c>
      <c r="K192" s="148">
        <v>168.52</v>
      </c>
      <c r="L192" s="231">
        <f t="shared" si="17"/>
        <v>-2.4860897360008405E-3</v>
      </c>
      <c r="M192" s="148">
        <v>43.6</v>
      </c>
      <c r="N192" s="216">
        <f t="shared" si="18"/>
        <v>-2.0004495392222932E-2</v>
      </c>
      <c r="O192" s="196"/>
    </row>
    <row r="193" spans="1:15" ht="16.5">
      <c r="A193" s="215" t="s">
        <v>344</v>
      </c>
      <c r="C193" s="214">
        <v>13607.3</v>
      </c>
      <c r="D193" s="231">
        <f t="shared" si="13"/>
        <v>-3.3942948017095742E-2</v>
      </c>
      <c r="E193" s="236">
        <v>70.19</v>
      </c>
      <c r="F193" s="231">
        <f t="shared" si="14"/>
        <v>-1.4462229710755392E-2</v>
      </c>
      <c r="G193" s="145">
        <v>125.86</v>
      </c>
      <c r="H193" s="216">
        <f t="shared" si="15"/>
        <v>-1.9400077911959412E-2</v>
      </c>
      <c r="I193" s="236">
        <v>111.85</v>
      </c>
      <c r="J193" s="231">
        <f t="shared" si="16"/>
        <v>-1.8859649122807021E-2</v>
      </c>
      <c r="K193" s="148">
        <v>163.05000000000001</v>
      </c>
      <c r="L193" s="231">
        <f t="shared" si="17"/>
        <v>-3.2459055305008255E-2</v>
      </c>
      <c r="M193" s="148">
        <v>43.42</v>
      </c>
      <c r="N193" s="216">
        <f t="shared" si="18"/>
        <v>-4.1284403669724634E-3</v>
      </c>
      <c r="O193" s="196"/>
    </row>
    <row r="194" spans="1:15" ht="16.5">
      <c r="A194" s="215" t="s">
        <v>345</v>
      </c>
      <c r="C194" s="214">
        <v>13278.6</v>
      </c>
      <c r="D194" s="231">
        <f t="shared" si="13"/>
        <v>-2.4156151477515708E-2</v>
      </c>
      <c r="E194" s="236">
        <v>67.84</v>
      </c>
      <c r="F194" s="231">
        <f t="shared" si="14"/>
        <v>-3.3480552785296935E-2</v>
      </c>
      <c r="G194" s="145">
        <v>122.18</v>
      </c>
      <c r="H194" s="216">
        <f t="shared" si="15"/>
        <v>-2.9238836802796708E-2</v>
      </c>
      <c r="I194" s="236">
        <v>108.74</v>
      </c>
      <c r="J194" s="231">
        <f t="shared" si="16"/>
        <v>-2.7805096110862793E-2</v>
      </c>
      <c r="K194" s="148">
        <v>159.18</v>
      </c>
      <c r="L194" s="231">
        <f t="shared" si="17"/>
        <v>-2.3735050597976093E-2</v>
      </c>
      <c r="M194" s="148">
        <v>42.44</v>
      </c>
      <c r="N194" s="216">
        <f t="shared" si="18"/>
        <v>-2.257024412713049E-2</v>
      </c>
      <c r="O194" s="196"/>
    </row>
    <row r="195" spans="1:15" ht="16.5">
      <c r="A195" s="215" t="s">
        <v>346</v>
      </c>
      <c r="C195" s="214">
        <v>13472.2</v>
      </c>
      <c r="D195" s="231">
        <f t="shared" si="13"/>
        <v>1.4579850285421747E-2</v>
      </c>
      <c r="E195" s="236">
        <v>68.739999999999995</v>
      </c>
      <c r="F195" s="231">
        <f t="shared" si="14"/>
        <v>1.3266509433962126E-2</v>
      </c>
      <c r="G195" s="145">
        <v>123.76</v>
      </c>
      <c r="H195" s="216">
        <f t="shared" si="15"/>
        <v>1.2931740055655672E-2</v>
      </c>
      <c r="I195" s="236">
        <v>109.51</v>
      </c>
      <c r="J195" s="231">
        <f t="shared" si="16"/>
        <v>7.081110906750121E-3</v>
      </c>
      <c r="K195" s="148">
        <v>159.16999999999999</v>
      </c>
      <c r="L195" s="231">
        <f t="shared" si="17"/>
        <v>-6.2821962558246014E-5</v>
      </c>
      <c r="M195" s="148">
        <v>43.26</v>
      </c>
      <c r="N195" s="216">
        <f t="shared" si="18"/>
        <v>1.9321394910461809E-2</v>
      </c>
      <c r="O195" s="196"/>
    </row>
    <row r="196" spans="1:15" ht="16.5">
      <c r="A196" s="215" t="s">
        <v>347</v>
      </c>
      <c r="C196" s="214">
        <v>13467</v>
      </c>
      <c r="D196" s="231">
        <f t="shared" si="13"/>
        <v>-3.8598001811140925E-4</v>
      </c>
      <c r="E196" s="236">
        <v>70.16</v>
      </c>
      <c r="F196" s="231">
        <f t="shared" si="14"/>
        <v>2.0657550189118412E-2</v>
      </c>
      <c r="G196" s="145">
        <v>126.21</v>
      </c>
      <c r="H196" s="216">
        <f t="shared" si="15"/>
        <v>1.9796380090497667E-2</v>
      </c>
      <c r="I196" s="236">
        <v>112.38</v>
      </c>
      <c r="J196" s="231">
        <f t="shared" si="16"/>
        <v>2.6207652269198967E-2</v>
      </c>
      <c r="K196" s="148">
        <v>163.32</v>
      </c>
      <c r="L196" s="231">
        <f t="shared" si="17"/>
        <v>2.6072752403091037E-2</v>
      </c>
      <c r="M196" s="148">
        <v>43.13</v>
      </c>
      <c r="N196" s="216">
        <f t="shared" si="18"/>
        <v>-3.0050855293572987E-3</v>
      </c>
      <c r="O196" s="196"/>
    </row>
    <row r="197" spans="1:15" ht="16.5">
      <c r="A197" s="215" t="s">
        <v>348</v>
      </c>
      <c r="C197" s="214">
        <v>13640.9</v>
      </c>
      <c r="D197" s="231">
        <f t="shared" si="13"/>
        <v>1.291304670676463E-2</v>
      </c>
      <c r="E197" s="236">
        <v>74.709999999999994</v>
      </c>
      <c r="F197" s="231">
        <f t="shared" si="14"/>
        <v>6.4851767388825587E-2</v>
      </c>
      <c r="G197" s="145">
        <v>133.94999999999999</v>
      </c>
      <c r="H197" s="216">
        <f t="shared" si="15"/>
        <v>6.1326360827192783E-2</v>
      </c>
      <c r="I197" s="236">
        <v>119.08</v>
      </c>
      <c r="J197" s="231">
        <f t="shared" si="16"/>
        <v>5.9619149314824815E-2</v>
      </c>
      <c r="K197" s="148">
        <v>162.83000000000001</v>
      </c>
      <c r="L197" s="231">
        <f t="shared" si="17"/>
        <v>-3.000244917952366E-3</v>
      </c>
      <c r="M197" s="148">
        <v>43.56</v>
      </c>
      <c r="N197" s="216">
        <f t="shared" si="18"/>
        <v>9.9698585671226247E-3</v>
      </c>
      <c r="O197" s="196"/>
    </row>
    <row r="198" spans="1:15" ht="16.5">
      <c r="A198" s="215" t="s">
        <v>349</v>
      </c>
      <c r="C198" s="214">
        <v>14468.9</v>
      </c>
      <c r="D198" s="231">
        <f t="shared" si="13"/>
        <v>6.0699807197472255E-2</v>
      </c>
      <c r="E198" s="236">
        <v>74.53</v>
      </c>
      <c r="F198" s="231">
        <f t="shared" si="14"/>
        <v>-2.4093160219514909E-3</v>
      </c>
      <c r="G198" s="145">
        <v>136.63999999999999</v>
      </c>
      <c r="H198" s="216">
        <f t="shared" si="15"/>
        <v>2.008212019410216E-2</v>
      </c>
      <c r="I198" s="236">
        <v>121.02</v>
      </c>
      <c r="J198" s="231">
        <f t="shared" si="16"/>
        <v>1.6291568693315384E-2</v>
      </c>
      <c r="K198" s="148">
        <v>160.81</v>
      </c>
      <c r="L198" s="231">
        <f t="shared" si="17"/>
        <v>-1.2405576367991222E-2</v>
      </c>
      <c r="M198" s="148">
        <v>44.96</v>
      </c>
      <c r="N198" s="216">
        <f t="shared" si="18"/>
        <v>3.2139577594123114E-2</v>
      </c>
      <c r="O198" s="196"/>
    </row>
    <row r="199" spans="1:15" ht="16.5">
      <c r="A199" s="215" t="s">
        <v>350</v>
      </c>
      <c r="C199" s="214">
        <v>14562.8</v>
      </c>
      <c r="D199" s="231">
        <f t="shared" si="13"/>
        <v>6.4897815314224339E-3</v>
      </c>
      <c r="E199" s="236">
        <v>76.849999999999994</v>
      </c>
      <c r="F199" s="231">
        <f t="shared" si="14"/>
        <v>3.112840466926059E-2</v>
      </c>
      <c r="G199" s="145">
        <v>135.29</v>
      </c>
      <c r="H199" s="216">
        <f t="shared" si="15"/>
        <v>-9.8799765807962014E-3</v>
      </c>
      <c r="I199" s="236">
        <v>123.84</v>
      </c>
      <c r="J199" s="231">
        <f t="shared" si="16"/>
        <v>2.3301933564700006E-2</v>
      </c>
      <c r="K199" s="148">
        <v>162.16</v>
      </c>
      <c r="L199" s="231">
        <f t="shared" si="17"/>
        <v>8.3950003109258819E-3</v>
      </c>
      <c r="M199" s="148">
        <v>44.5</v>
      </c>
      <c r="N199" s="216">
        <f t="shared" si="18"/>
        <v>-1.0231316725978656E-2</v>
      </c>
      <c r="O199" s="196"/>
    </row>
    <row r="200" spans="1:15" ht="16.5">
      <c r="A200" s="215" t="s">
        <v>351</v>
      </c>
      <c r="C200" s="214">
        <v>14576.6</v>
      </c>
      <c r="D200" s="231">
        <f t="shared" si="13"/>
        <v>9.4761996319392416E-4</v>
      </c>
      <c r="E200" s="236">
        <v>77.77</v>
      </c>
      <c r="F200" s="231">
        <f t="shared" si="14"/>
        <v>1.1971372804163938E-2</v>
      </c>
      <c r="G200" s="145">
        <v>136.55000000000001</v>
      </c>
      <c r="H200" s="216">
        <f t="shared" si="15"/>
        <v>9.3133269273413255E-3</v>
      </c>
      <c r="I200" s="236">
        <v>126.22</v>
      </c>
      <c r="J200" s="231">
        <f t="shared" si="16"/>
        <v>1.9218346253230045E-2</v>
      </c>
      <c r="K200" s="148">
        <v>161.27000000000001</v>
      </c>
      <c r="L200" s="231">
        <f t="shared" si="17"/>
        <v>-5.4884065120867076E-3</v>
      </c>
      <c r="M200" s="148">
        <v>44.46</v>
      </c>
      <c r="N200" s="216">
        <f t="shared" si="18"/>
        <v>-8.9887640449437534E-4</v>
      </c>
      <c r="O200" s="196"/>
    </row>
    <row r="201" spans="1:15" ht="16.5">
      <c r="A201" s="215" t="s">
        <v>352</v>
      </c>
      <c r="C201" s="214">
        <v>15177.2</v>
      </c>
      <c r="D201" s="231">
        <f t="shared" si="13"/>
        <v>4.1203024024806911E-2</v>
      </c>
      <c r="E201" s="236">
        <v>79.069999999999993</v>
      </c>
      <c r="F201" s="231">
        <f t="shared" si="14"/>
        <v>1.6715957310016627E-2</v>
      </c>
      <c r="G201" s="145">
        <v>142.02000000000001</v>
      </c>
      <c r="H201" s="216">
        <f t="shared" si="15"/>
        <v>4.0058586598315626E-2</v>
      </c>
      <c r="I201" s="236">
        <v>129.35</v>
      </c>
      <c r="J201" s="231">
        <f t="shared" si="16"/>
        <v>2.4797971795277984E-2</v>
      </c>
      <c r="K201" s="148">
        <v>164.2</v>
      </c>
      <c r="L201" s="231">
        <f t="shared" si="17"/>
        <v>1.8168289204439692E-2</v>
      </c>
      <c r="M201" s="148">
        <v>45.97</v>
      </c>
      <c r="N201" s="216">
        <f t="shared" si="18"/>
        <v>3.3963112910481374E-2</v>
      </c>
      <c r="O201" s="196"/>
    </row>
    <row r="202" spans="1:15" ht="16.5">
      <c r="A202" s="215" t="s">
        <v>353</v>
      </c>
      <c r="C202" s="214">
        <v>15555.5</v>
      </c>
      <c r="D202" s="231">
        <f t="shared" si="13"/>
        <v>2.4925546214057848E-2</v>
      </c>
      <c r="E202" s="236">
        <v>80.33</v>
      </c>
      <c r="F202" s="231">
        <f t="shared" si="14"/>
        <v>1.5935247249272866E-2</v>
      </c>
      <c r="G202" s="145">
        <v>146.74</v>
      </c>
      <c r="H202" s="216">
        <f t="shared" si="15"/>
        <v>3.3234755668215765E-2</v>
      </c>
      <c r="I202" s="236">
        <v>135.72999999999999</v>
      </c>
      <c r="J202" s="231">
        <f t="shared" si="16"/>
        <v>4.9323540780827235E-2</v>
      </c>
      <c r="K202" s="148">
        <v>165.13</v>
      </c>
      <c r="L202" s="231">
        <f t="shared" si="17"/>
        <v>5.6638246041413876E-3</v>
      </c>
      <c r="M202" s="148">
        <v>47.08</v>
      </c>
      <c r="N202" s="216">
        <f t="shared" si="18"/>
        <v>2.4146182292799745E-2</v>
      </c>
      <c r="O202" s="196"/>
    </row>
    <row r="203" spans="1:15" ht="16.5">
      <c r="A203" s="215" t="s">
        <v>354</v>
      </c>
      <c r="C203" s="214">
        <v>15225.2</v>
      </c>
      <c r="D203" s="231">
        <f t="shared" si="13"/>
        <v>-2.1233647263025901E-2</v>
      </c>
      <c r="E203" s="236">
        <v>79.349999999999994</v>
      </c>
      <c r="F203" s="231">
        <f t="shared" si="14"/>
        <v>-1.2199676335117648E-2</v>
      </c>
      <c r="G203" s="145">
        <v>144.49</v>
      </c>
      <c r="H203" s="216">
        <f t="shared" si="15"/>
        <v>-1.5333242469674269E-2</v>
      </c>
      <c r="I203" s="236">
        <v>133.57</v>
      </c>
      <c r="J203" s="231">
        <f t="shared" si="16"/>
        <v>-1.5913946806159318E-2</v>
      </c>
      <c r="K203" s="148">
        <v>165.15</v>
      </c>
      <c r="L203" s="231">
        <f t="shared" si="17"/>
        <v>1.2111669593650731E-4</v>
      </c>
      <c r="M203" s="148">
        <v>47.06</v>
      </c>
      <c r="N203" s="216">
        <f t="shared" si="18"/>
        <v>-4.2480883602369346E-4</v>
      </c>
      <c r="O203" s="196"/>
    </row>
    <row r="204" spans="1:15" ht="16.5">
      <c r="A204" s="215" t="s">
        <v>355</v>
      </c>
      <c r="C204" s="214">
        <v>15100.6</v>
      </c>
      <c r="D204" s="231">
        <f t="shared" si="13"/>
        <v>-8.1838005412080417E-3</v>
      </c>
      <c r="E204" s="236">
        <v>78.760000000000005</v>
      </c>
      <c r="F204" s="231">
        <f t="shared" si="14"/>
        <v>-7.4354127284183003E-3</v>
      </c>
      <c r="G204" s="145">
        <v>138.27000000000001</v>
      </c>
      <c r="H204" s="216">
        <f t="shared" si="15"/>
        <v>-4.3047961796664147E-2</v>
      </c>
      <c r="I204" s="236">
        <v>131.9</v>
      </c>
      <c r="J204" s="231">
        <f t="shared" si="16"/>
        <v>-1.2502807516657888E-2</v>
      </c>
      <c r="K204" s="148">
        <v>169.79</v>
      </c>
      <c r="L204" s="231">
        <f t="shared" si="17"/>
        <v>2.8095670602482414E-2</v>
      </c>
      <c r="M204" s="148">
        <v>47.7</v>
      </c>
      <c r="N204" s="216">
        <f t="shared" si="18"/>
        <v>1.359966000849977E-2</v>
      </c>
      <c r="O204" s="196"/>
    </row>
    <row r="205" spans="1:15" ht="16.5">
      <c r="A205" s="215" t="s">
        <v>356</v>
      </c>
      <c r="C205" s="214">
        <v>14761.3</v>
      </c>
      <c r="D205" s="231">
        <f t="shared" si="13"/>
        <v>-2.2469305855396526E-2</v>
      </c>
      <c r="E205" s="236">
        <v>77.150000000000006</v>
      </c>
      <c r="F205" s="231">
        <f t="shared" si="14"/>
        <v>-2.0441848654139116E-2</v>
      </c>
      <c r="G205" s="145">
        <v>138.22999999999999</v>
      </c>
      <c r="H205" s="216">
        <f t="shared" si="15"/>
        <v>-2.8928907210545862E-4</v>
      </c>
      <c r="I205" s="236">
        <v>129.84</v>
      </c>
      <c r="J205" s="231">
        <f t="shared" si="16"/>
        <v>-1.5617892342683848E-2</v>
      </c>
      <c r="K205" s="148">
        <v>171.13</v>
      </c>
      <c r="L205" s="231">
        <f t="shared" si="17"/>
        <v>7.892102008363322E-3</v>
      </c>
      <c r="M205" s="148">
        <v>46.97</v>
      </c>
      <c r="N205" s="216">
        <f t="shared" si="18"/>
        <v>-1.5303983228511564E-2</v>
      </c>
      <c r="O205" s="196"/>
    </row>
    <row r="206" spans="1:15" ht="16.5">
      <c r="A206" s="215" t="s">
        <v>357</v>
      </c>
      <c r="C206" s="214">
        <v>14376.9</v>
      </c>
      <c r="D206" s="231">
        <f t="shared" si="13"/>
        <v>-2.6041066843706107E-2</v>
      </c>
      <c r="E206" s="236">
        <v>75.19</v>
      </c>
      <c r="F206" s="231">
        <f t="shared" si="14"/>
        <v>-2.5405055087492023E-2</v>
      </c>
      <c r="G206" s="145">
        <v>138.94999999999999</v>
      </c>
      <c r="H206" s="216">
        <f t="shared" si="15"/>
        <v>5.2087101208131426E-3</v>
      </c>
      <c r="I206" s="236">
        <v>129.43</v>
      </c>
      <c r="J206" s="231">
        <f t="shared" si="16"/>
        <v>-3.1577325939617928E-3</v>
      </c>
      <c r="K206" s="148">
        <v>169.76</v>
      </c>
      <c r="L206" s="231">
        <f t="shared" si="17"/>
        <v>-8.0056097703500306E-3</v>
      </c>
      <c r="M206" s="148">
        <v>45.89</v>
      </c>
      <c r="N206" s="216">
        <f t="shared" si="18"/>
        <v>-2.2993400042580325E-2</v>
      </c>
      <c r="O206" s="196"/>
    </row>
    <row r="207" spans="1:15" ht="16.5">
      <c r="A207" s="215" t="s">
        <v>358</v>
      </c>
      <c r="C207" s="214">
        <v>13988.9</v>
      </c>
      <c r="D207" s="231">
        <f t="shared" si="13"/>
        <v>-2.6987737272986534E-2</v>
      </c>
      <c r="E207" s="236">
        <v>77.09</v>
      </c>
      <c r="F207" s="231">
        <f t="shared" si="14"/>
        <v>2.5269317728421337E-2</v>
      </c>
      <c r="G207" s="145">
        <v>143.47</v>
      </c>
      <c r="H207" s="216">
        <f t="shared" si="15"/>
        <v>3.2529686937747382E-2</v>
      </c>
      <c r="I207" s="236">
        <v>133.61000000000001</v>
      </c>
      <c r="J207" s="231">
        <f t="shared" si="16"/>
        <v>3.2295449277601751E-2</v>
      </c>
      <c r="K207" s="148">
        <v>172.3</v>
      </c>
      <c r="L207" s="231">
        <f t="shared" si="17"/>
        <v>1.4962299717248051E-2</v>
      </c>
      <c r="M207" s="148">
        <v>45.52</v>
      </c>
      <c r="N207" s="216">
        <f t="shared" si="18"/>
        <v>-8.0627587709740656E-3</v>
      </c>
      <c r="O207" s="196"/>
    </row>
    <row r="208" spans="1:15" ht="16.5">
      <c r="A208" s="215" t="s">
        <v>359</v>
      </c>
      <c r="C208" s="214">
        <v>14218</v>
      </c>
      <c r="D208" s="231">
        <f t="shared" si="13"/>
        <v>1.6377270550222089E-2</v>
      </c>
      <c r="E208" s="236">
        <v>78.23</v>
      </c>
      <c r="F208" s="231">
        <f t="shared" si="14"/>
        <v>1.4787910234790536E-2</v>
      </c>
      <c r="G208" s="145">
        <v>142.54</v>
      </c>
      <c r="H208" s="216">
        <f t="shared" si="15"/>
        <v>-6.4821913988987179E-3</v>
      </c>
      <c r="I208" s="236">
        <v>134.09</v>
      </c>
      <c r="J208" s="231">
        <f t="shared" si="16"/>
        <v>3.592545468153574E-3</v>
      </c>
      <c r="K208" s="148">
        <v>174.61</v>
      </c>
      <c r="L208" s="231">
        <f t="shared" si="17"/>
        <v>1.3406848520023162E-2</v>
      </c>
      <c r="M208" s="148">
        <v>45.29</v>
      </c>
      <c r="N208" s="216">
        <f t="shared" si="18"/>
        <v>-5.0527240773287074E-3</v>
      </c>
      <c r="O208" s="196"/>
    </row>
    <row r="209" spans="1:15" ht="16.5">
      <c r="A209" s="215" t="s">
        <v>360</v>
      </c>
      <c r="C209" s="214">
        <v>14321.2</v>
      </c>
      <c r="D209" s="231">
        <f t="shared" si="13"/>
        <v>7.2584048389365829E-3</v>
      </c>
      <c r="E209" s="236">
        <v>78.760000000000005</v>
      </c>
      <c r="F209" s="231">
        <f t="shared" si="14"/>
        <v>6.7748945417358541E-3</v>
      </c>
      <c r="G209" s="145">
        <v>140.58000000000001</v>
      </c>
      <c r="H209" s="216">
        <f t="shared" si="15"/>
        <v>-1.3750526168093025E-2</v>
      </c>
      <c r="I209" s="236">
        <v>132.27000000000001</v>
      </c>
      <c r="J209" s="231">
        <f t="shared" si="16"/>
        <v>-1.3572973376090647E-2</v>
      </c>
      <c r="K209" s="148">
        <v>175.03</v>
      </c>
      <c r="L209" s="231">
        <f t="shared" si="17"/>
        <v>2.4053605177252191E-3</v>
      </c>
      <c r="M209" s="148">
        <v>44.96</v>
      </c>
      <c r="N209" s="216">
        <f t="shared" si="18"/>
        <v>-7.2863766835945531E-3</v>
      </c>
      <c r="O209" s="196"/>
    </row>
    <row r="210" spans="1:15" ht="16.5">
      <c r="A210" s="215" t="s">
        <v>361</v>
      </c>
      <c r="C210" s="214">
        <v>14097</v>
      </c>
      <c r="D210" s="231">
        <f t="shared" si="13"/>
        <v>-1.5655112700053153E-2</v>
      </c>
      <c r="E210" s="236">
        <v>74.400000000000006</v>
      </c>
      <c r="F210" s="231">
        <f t="shared" si="14"/>
        <v>-5.5358049771457529E-2</v>
      </c>
      <c r="G210" s="145">
        <v>133.43</v>
      </c>
      <c r="H210" s="216">
        <f t="shared" si="15"/>
        <v>-5.086071987480445E-2</v>
      </c>
      <c r="I210" s="236">
        <v>122.46</v>
      </c>
      <c r="J210" s="231">
        <f t="shared" si="16"/>
        <v>-7.4166477659333263E-2</v>
      </c>
      <c r="K210" s="148">
        <v>169.56</v>
      </c>
      <c r="L210" s="231">
        <f t="shared" si="17"/>
        <v>-3.1251785408215715E-2</v>
      </c>
      <c r="M210" s="148">
        <v>44.02</v>
      </c>
      <c r="N210" s="216">
        <f t="shared" si="18"/>
        <v>-2.0907473309608515E-2</v>
      </c>
      <c r="O210" s="196"/>
    </row>
    <row r="211" spans="1:15" ht="16.5">
      <c r="A211" s="215" t="s">
        <v>362</v>
      </c>
      <c r="C211" s="214">
        <v>13993.2</v>
      </c>
      <c r="D211" s="231">
        <f t="shared" si="13"/>
        <v>-7.3632687805915698E-3</v>
      </c>
      <c r="E211" s="236">
        <v>72.69</v>
      </c>
      <c r="F211" s="231">
        <f t="shared" si="14"/>
        <v>-2.2983870967742015E-2</v>
      </c>
      <c r="G211" s="145">
        <v>129.5</v>
      </c>
      <c r="H211" s="216">
        <f t="shared" si="15"/>
        <v>-2.9453646106572751E-2</v>
      </c>
      <c r="I211" s="236">
        <v>119.88</v>
      </c>
      <c r="J211" s="231">
        <f t="shared" si="16"/>
        <v>-2.1068103870651611E-2</v>
      </c>
      <c r="K211" s="148">
        <v>167.26</v>
      </c>
      <c r="L211" s="231">
        <f t="shared" si="17"/>
        <v>-1.3564519933946806E-2</v>
      </c>
      <c r="M211" s="148">
        <v>43.16</v>
      </c>
      <c r="N211" s="216">
        <f t="shared" si="18"/>
        <v>-1.9536574284416353E-2</v>
      </c>
      <c r="O211" s="196"/>
    </row>
    <row r="212" spans="1:15" ht="16.5">
      <c r="A212" s="215" t="s">
        <v>363</v>
      </c>
      <c r="C212" s="214">
        <v>15078.1</v>
      </c>
      <c r="D212" s="231">
        <f t="shared" si="13"/>
        <v>7.7530514821484653E-2</v>
      </c>
      <c r="E212" s="236">
        <v>75.150000000000006</v>
      </c>
      <c r="F212" s="231">
        <f t="shared" si="14"/>
        <v>3.3842344201403307E-2</v>
      </c>
      <c r="G212" s="145">
        <v>139.44999999999999</v>
      </c>
      <c r="H212" s="216">
        <f t="shared" si="15"/>
        <v>7.6833976833976747E-2</v>
      </c>
      <c r="I212" s="236">
        <v>125.43</v>
      </c>
      <c r="J212" s="231">
        <f t="shared" si="16"/>
        <v>4.6296296296296502E-2</v>
      </c>
      <c r="K212" s="148">
        <v>170.62</v>
      </c>
      <c r="L212" s="231">
        <f t="shared" si="17"/>
        <v>2.0088484993423528E-2</v>
      </c>
      <c r="M212" s="148">
        <v>44.42</v>
      </c>
      <c r="N212" s="216">
        <f t="shared" si="18"/>
        <v>2.9193697868396873E-2</v>
      </c>
      <c r="O212" s="196"/>
    </row>
    <row r="213" spans="1:15" ht="16.5">
      <c r="A213" s="215" t="s">
        <v>364</v>
      </c>
      <c r="C213" s="214">
        <v>15588.8</v>
      </c>
      <c r="D213" s="231">
        <f t="shared" si="13"/>
        <v>3.3870315225392966E-2</v>
      </c>
      <c r="E213" s="236">
        <v>77.260000000000005</v>
      </c>
      <c r="F213" s="231">
        <f t="shared" si="14"/>
        <v>2.8077178975382644E-2</v>
      </c>
      <c r="G213" s="145">
        <v>142.63</v>
      </c>
      <c r="H213" s="216">
        <f t="shared" si="15"/>
        <v>2.2803872355683152E-2</v>
      </c>
      <c r="I213" s="236">
        <v>127.96</v>
      </c>
      <c r="J213" s="231">
        <f t="shared" si="16"/>
        <v>2.0170613090966905E-2</v>
      </c>
      <c r="K213" s="148">
        <v>174.59</v>
      </c>
      <c r="L213" s="231">
        <f t="shared" si="17"/>
        <v>2.3268081115930039E-2</v>
      </c>
      <c r="M213" s="148">
        <v>46</v>
      </c>
      <c r="N213" s="216">
        <f t="shared" si="18"/>
        <v>3.5569563259792769E-2</v>
      </c>
      <c r="O213" s="196"/>
    </row>
    <row r="214" spans="1:15" ht="16.5">
      <c r="A214" s="215" t="s">
        <v>365</v>
      </c>
      <c r="C214" s="214">
        <v>15056.4</v>
      </c>
      <c r="D214" s="231">
        <f t="shared" si="13"/>
        <v>-3.4152725033357312E-2</v>
      </c>
      <c r="E214" s="236">
        <v>75.37</v>
      </c>
      <c r="F214" s="231">
        <f t="shared" si="14"/>
        <v>-2.4462852705151472E-2</v>
      </c>
      <c r="G214" s="145">
        <v>142.08000000000001</v>
      </c>
      <c r="H214" s="216">
        <f t="shared" si="15"/>
        <v>-3.856131248685335E-3</v>
      </c>
      <c r="I214" s="236">
        <v>127.44</v>
      </c>
      <c r="J214" s="231">
        <f t="shared" si="16"/>
        <v>-4.0637699281025341E-3</v>
      </c>
      <c r="K214" s="148">
        <v>177.46</v>
      </c>
      <c r="L214" s="231">
        <f t="shared" si="17"/>
        <v>1.6438513087805751E-2</v>
      </c>
      <c r="M214" s="148">
        <v>43.53</v>
      </c>
      <c r="N214" s="216">
        <f t="shared" si="18"/>
        <v>-5.3695652173913033E-2</v>
      </c>
      <c r="O214" s="196"/>
    </row>
    <row r="215" spans="1:15" ht="16.5">
      <c r="A215" s="215" t="s">
        <v>366</v>
      </c>
      <c r="C215" s="214">
        <v>14785.2</v>
      </c>
      <c r="D215" s="231">
        <f t="shared" si="13"/>
        <v>-1.8012273850322669E-2</v>
      </c>
      <c r="E215" s="236">
        <v>73.87</v>
      </c>
      <c r="F215" s="231">
        <f t="shared" si="14"/>
        <v>-1.9901817699349844E-2</v>
      </c>
      <c r="G215" s="145">
        <v>139.18</v>
      </c>
      <c r="H215" s="216">
        <f t="shared" si="15"/>
        <v>-2.0411036036036112E-2</v>
      </c>
      <c r="I215" s="236">
        <v>125.46</v>
      </c>
      <c r="J215" s="231">
        <f t="shared" si="16"/>
        <v>-1.5536723163841804E-2</v>
      </c>
      <c r="K215" s="148">
        <v>172.69</v>
      </c>
      <c r="L215" s="231">
        <f t="shared" si="17"/>
        <v>-2.6879296742927994E-2</v>
      </c>
      <c r="M215" s="148">
        <v>42.54</v>
      </c>
      <c r="N215" s="216">
        <f t="shared" si="18"/>
        <v>-2.2742935906271633E-2</v>
      </c>
      <c r="O215" s="196"/>
    </row>
    <row r="216" spans="1:15" ht="16.5">
      <c r="A216" s="215" t="s">
        <v>367</v>
      </c>
      <c r="C216" s="214">
        <v>14695.7</v>
      </c>
      <c r="D216" s="231">
        <f t="shared" si="13"/>
        <v>-6.0533506479452104E-3</v>
      </c>
      <c r="E216" s="236">
        <v>76.06</v>
      </c>
      <c r="F216" s="231">
        <f t="shared" si="14"/>
        <v>2.964667659401643E-2</v>
      </c>
      <c r="G216" s="145">
        <v>149.88</v>
      </c>
      <c r="H216" s="216">
        <f t="shared" si="15"/>
        <v>7.6878861905446128E-2</v>
      </c>
      <c r="I216" s="236">
        <v>137</v>
      </c>
      <c r="J216" s="231">
        <f t="shared" si="16"/>
        <v>9.198150805037475E-2</v>
      </c>
      <c r="K216" s="148">
        <v>174.59</v>
      </c>
      <c r="L216" s="231">
        <f t="shared" si="17"/>
        <v>1.1002374196537268E-2</v>
      </c>
      <c r="M216" s="148">
        <v>44.53</v>
      </c>
      <c r="N216" s="216">
        <f t="shared" si="18"/>
        <v>4.6779501645510146E-2</v>
      </c>
      <c r="O216" s="196"/>
    </row>
    <row r="217" spans="1:15" ht="16.5">
      <c r="A217" s="215" t="s">
        <v>368</v>
      </c>
      <c r="C217" s="214">
        <v>15324.7</v>
      </c>
      <c r="D217" s="231">
        <f t="shared" si="13"/>
        <v>4.2801635852664388E-2</v>
      </c>
      <c r="E217" s="236">
        <v>73.930000000000007</v>
      </c>
      <c r="F217" s="231">
        <f t="shared" si="14"/>
        <v>-2.8004207204838205E-2</v>
      </c>
      <c r="G217" s="145">
        <v>153.13999999999999</v>
      </c>
      <c r="H217" s="216">
        <f t="shared" si="15"/>
        <v>2.1750733920469667E-2</v>
      </c>
      <c r="I217" s="236">
        <v>134.46</v>
      </c>
      <c r="J217" s="231">
        <f t="shared" si="16"/>
        <v>-1.8540145985401435E-2</v>
      </c>
      <c r="K217" s="148">
        <v>174.69</v>
      </c>
      <c r="L217" s="231">
        <f t="shared" si="17"/>
        <v>5.7277049086423837E-4</v>
      </c>
      <c r="M217" s="148">
        <v>44.06</v>
      </c>
      <c r="N217" s="216">
        <f t="shared" si="18"/>
        <v>-1.0554682236694313E-2</v>
      </c>
      <c r="O217" s="196"/>
    </row>
    <row r="218" spans="1:15" ht="16.5">
      <c r="A218" s="215" t="s">
        <v>369</v>
      </c>
      <c r="C218" s="214">
        <v>15593.2</v>
      </c>
      <c r="D218" s="231">
        <f t="shared" si="13"/>
        <v>1.752073450051217E-2</v>
      </c>
      <c r="E218" s="236">
        <v>76.180000000000007</v>
      </c>
      <c r="F218" s="231">
        <f t="shared" si="14"/>
        <v>3.0434194508318635E-2</v>
      </c>
      <c r="G218" s="145">
        <v>159.11000000000001</v>
      </c>
      <c r="H218" s="216">
        <f t="shared" si="15"/>
        <v>3.8983936267467767E-2</v>
      </c>
      <c r="I218" s="236">
        <v>138.32</v>
      </c>
      <c r="J218" s="231">
        <f t="shared" si="16"/>
        <v>2.8707422281719408E-2</v>
      </c>
      <c r="K218" s="148">
        <v>180.2</v>
      </c>
      <c r="L218" s="231">
        <f t="shared" si="17"/>
        <v>3.1541587955807415E-2</v>
      </c>
      <c r="M218" s="148">
        <v>44.61</v>
      </c>
      <c r="N218" s="216">
        <f t="shared" si="18"/>
        <v>1.2482977757603209E-2</v>
      </c>
      <c r="O218" s="196"/>
    </row>
    <row r="219" spans="1:15" ht="16.5">
      <c r="A219" s="215" t="s">
        <v>370</v>
      </c>
      <c r="C219" s="214">
        <v>16047.5</v>
      </c>
      <c r="D219" s="231">
        <f t="shared" si="13"/>
        <v>2.9134494523253673E-2</v>
      </c>
      <c r="E219" s="236">
        <v>79.72</v>
      </c>
      <c r="F219" s="231">
        <f t="shared" si="14"/>
        <v>4.6468889472302433E-2</v>
      </c>
      <c r="G219" s="145">
        <v>156.30000000000001</v>
      </c>
      <c r="H219" s="216">
        <f t="shared" si="15"/>
        <v>-1.7660737854314656E-2</v>
      </c>
      <c r="I219" s="236">
        <v>123.85</v>
      </c>
      <c r="J219" s="231">
        <f t="shared" si="16"/>
        <v>-0.10461249277038753</v>
      </c>
      <c r="K219" s="148">
        <v>176.74</v>
      </c>
      <c r="L219" s="231">
        <f t="shared" si="17"/>
        <v>-1.9200887902330654E-2</v>
      </c>
      <c r="M219" s="148">
        <v>43.96</v>
      </c>
      <c r="N219" s="216">
        <f t="shared" si="18"/>
        <v>-1.4570724052902939E-2</v>
      </c>
      <c r="O219" s="196"/>
    </row>
    <row r="220" spans="1:15" ht="16.5">
      <c r="A220" s="215" t="s">
        <v>371</v>
      </c>
      <c r="C220" s="214">
        <v>16419.099999999999</v>
      </c>
      <c r="D220" s="231">
        <f t="shared" si="13"/>
        <v>2.3156254868359483E-2</v>
      </c>
      <c r="E220" s="236">
        <v>79.959999999999994</v>
      </c>
      <c r="F220" s="231">
        <f t="shared" si="14"/>
        <v>3.0105368790767084E-3</v>
      </c>
      <c r="G220" s="145">
        <v>158.44999999999999</v>
      </c>
      <c r="H220" s="216">
        <f t="shared" si="15"/>
        <v>1.3755598208573083E-2</v>
      </c>
      <c r="I220" s="236">
        <v>125.18</v>
      </c>
      <c r="J220" s="231">
        <f t="shared" si="16"/>
        <v>1.0738796931772487E-2</v>
      </c>
      <c r="K220" s="148">
        <v>178.2</v>
      </c>
      <c r="L220" s="231">
        <f t="shared" si="17"/>
        <v>8.2607219644674768E-3</v>
      </c>
      <c r="M220" s="148">
        <v>44.45</v>
      </c>
      <c r="N220" s="216">
        <f t="shared" si="18"/>
        <v>1.1146496815286566E-2</v>
      </c>
      <c r="O220" s="196"/>
    </row>
    <row r="221" spans="1:15" ht="16.5">
      <c r="A221" s="215" t="s">
        <v>372</v>
      </c>
      <c r="C221" s="214">
        <v>16449.8</v>
      </c>
      <c r="D221" s="231">
        <f t="shared" si="13"/>
        <v>1.8697736173116652E-3</v>
      </c>
      <c r="E221" s="236">
        <v>74.88</v>
      </c>
      <c r="F221" s="231">
        <f t="shared" si="14"/>
        <v>-6.3531765882941404E-2</v>
      </c>
      <c r="G221" s="145">
        <v>151.26</v>
      </c>
      <c r="H221" s="216">
        <f t="shared" si="15"/>
        <v>-4.5377090564846956E-2</v>
      </c>
      <c r="I221" s="236">
        <v>122.64</v>
      </c>
      <c r="J221" s="231">
        <f t="shared" si="16"/>
        <v>-2.0290781274964087E-2</v>
      </c>
      <c r="K221" s="148">
        <v>175.52</v>
      </c>
      <c r="L221" s="231">
        <f t="shared" si="17"/>
        <v>-1.503928170594826E-2</v>
      </c>
      <c r="M221" s="148">
        <v>45.54</v>
      </c>
      <c r="N221" s="216">
        <f t="shared" si="18"/>
        <v>2.4521934758155117E-2</v>
      </c>
      <c r="O221" s="196"/>
    </row>
    <row r="222" spans="1:15" ht="16.5">
      <c r="A222" s="215" t="s">
        <v>373</v>
      </c>
      <c r="C222" s="214">
        <v>16640.099999999999</v>
      </c>
      <c r="D222" s="231">
        <f t="shared" si="13"/>
        <v>1.1568529708567921E-2</v>
      </c>
      <c r="E222" s="236">
        <v>74.84</v>
      </c>
      <c r="F222" s="231">
        <f t="shared" si="14"/>
        <v>-5.3418803418792127E-4</v>
      </c>
      <c r="G222" s="145">
        <v>151.94</v>
      </c>
      <c r="H222" s="216">
        <f t="shared" si="15"/>
        <v>4.4955705407907498E-3</v>
      </c>
      <c r="I222" s="236">
        <v>120.71</v>
      </c>
      <c r="J222" s="231">
        <f t="shared" si="16"/>
        <v>-1.5737116764514059E-2</v>
      </c>
      <c r="K222" s="148">
        <v>175.6</v>
      </c>
      <c r="L222" s="231">
        <f t="shared" si="17"/>
        <v>4.5578851412941823E-4</v>
      </c>
      <c r="M222" s="148">
        <v>44.76</v>
      </c>
      <c r="N222" s="216">
        <f t="shared" si="18"/>
        <v>-1.7127799736495364E-2</v>
      </c>
      <c r="O222" s="196"/>
    </row>
    <row r="223" spans="1:15" ht="16.5">
      <c r="A223" s="215" t="s">
        <v>374</v>
      </c>
      <c r="C223" s="214">
        <v>16515</v>
      </c>
      <c r="D223" s="231">
        <f t="shared" si="13"/>
        <v>-7.5179836659634569E-3</v>
      </c>
      <c r="E223" s="236">
        <v>72.86</v>
      </c>
      <c r="F223" s="231">
        <f t="shared" si="14"/>
        <v>-2.6456440406199988E-2</v>
      </c>
      <c r="G223" s="145">
        <v>149.24</v>
      </c>
      <c r="H223" s="216">
        <f t="shared" si="15"/>
        <v>-1.7770172436488041E-2</v>
      </c>
      <c r="I223" s="236">
        <v>119.41</v>
      </c>
      <c r="J223" s="231">
        <f t="shared" si="16"/>
        <v>-1.0769613122359356E-2</v>
      </c>
      <c r="K223" s="148">
        <v>173.91</v>
      </c>
      <c r="L223" s="231">
        <f t="shared" si="17"/>
        <v>-9.624145785877003E-3</v>
      </c>
      <c r="M223" s="148">
        <v>44.42</v>
      </c>
      <c r="N223" s="216">
        <f t="shared" si="18"/>
        <v>-7.5960679177836665E-3</v>
      </c>
      <c r="O223" s="196"/>
    </row>
    <row r="224" spans="1:15" ht="16.5">
      <c r="A224" s="215" t="s">
        <v>375</v>
      </c>
      <c r="C224" s="214">
        <v>15635.8</v>
      </c>
      <c r="D224" s="231">
        <f t="shared" si="13"/>
        <v>-5.3236451710566235E-2</v>
      </c>
      <c r="E224" s="236">
        <v>72.2</v>
      </c>
      <c r="F224" s="231">
        <f t="shared" si="14"/>
        <v>-9.0584682953609441E-3</v>
      </c>
      <c r="G224" s="145">
        <v>143.35</v>
      </c>
      <c r="H224" s="216">
        <f t="shared" si="15"/>
        <v>-3.9466630930045654E-2</v>
      </c>
      <c r="I224" s="236">
        <v>117.32</v>
      </c>
      <c r="J224" s="231">
        <f t="shared" si="16"/>
        <v>-1.7502721715099256E-2</v>
      </c>
      <c r="K224" s="148">
        <v>170.35</v>
      </c>
      <c r="L224" s="231">
        <f t="shared" si="17"/>
        <v>-2.0470358231269081E-2</v>
      </c>
      <c r="M224" s="148">
        <v>43.92</v>
      </c>
      <c r="N224" s="216">
        <f t="shared" si="18"/>
        <v>-1.1256190904997743E-2</v>
      </c>
      <c r="O224" s="196"/>
    </row>
    <row r="225" spans="1:15" ht="16.5">
      <c r="A225" s="215" t="s">
        <v>376</v>
      </c>
      <c r="C225" s="214">
        <v>15621.8</v>
      </c>
      <c r="D225" s="231">
        <f t="shared" si="13"/>
        <v>-8.9538111257503328E-4</v>
      </c>
      <c r="E225" s="236">
        <v>73.34</v>
      </c>
      <c r="F225" s="231">
        <f t="shared" si="14"/>
        <v>1.5789473684210575E-2</v>
      </c>
      <c r="G225" s="145">
        <v>143.03</v>
      </c>
      <c r="H225" s="216">
        <f t="shared" si="15"/>
        <v>-2.2322985699336773E-3</v>
      </c>
      <c r="I225" s="236">
        <v>117.42</v>
      </c>
      <c r="J225" s="231">
        <f t="shared" si="16"/>
        <v>8.5236958745316116E-4</v>
      </c>
      <c r="K225" s="148">
        <v>167.36</v>
      </c>
      <c r="L225" s="231">
        <f t="shared" si="17"/>
        <v>-1.7552098620487122E-2</v>
      </c>
      <c r="M225" s="148">
        <v>43.11</v>
      </c>
      <c r="N225" s="216">
        <f t="shared" si="18"/>
        <v>-1.8442622950819776E-2</v>
      </c>
      <c r="O225" s="196"/>
    </row>
    <row r="226" spans="1:15" ht="16.5">
      <c r="A226" s="215" t="s">
        <v>377</v>
      </c>
      <c r="C226" s="214">
        <v>15954.2</v>
      </c>
      <c r="D226" s="231">
        <f t="shared" si="13"/>
        <v>2.1277957725742258E-2</v>
      </c>
      <c r="E226" s="236">
        <v>75.73</v>
      </c>
      <c r="F226" s="231">
        <f t="shared" si="14"/>
        <v>3.2587946550313607E-2</v>
      </c>
      <c r="G226" s="145">
        <v>152.34</v>
      </c>
      <c r="H226" s="216">
        <f t="shared" si="15"/>
        <v>6.5091239600084005E-2</v>
      </c>
      <c r="I226" s="236">
        <v>127.54</v>
      </c>
      <c r="J226" s="231">
        <f t="shared" si="16"/>
        <v>8.6186339635496489E-2</v>
      </c>
      <c r="K226" s="148">
        <v>162.38</v>
      </c>
      <c r="L226" s="231">
        <f t="shared" si="17"/>
        <v>-2.9756214149139648E-2</v>
      </c>
      <c r="M226" s="148">
        <v>45</v>
      </c>
      <c r="N226" s="216">
        <f t="shared" si="18"/>
        <v>4.3841336116910323E-2</v>
      </c>
      <c r="O226" s="196"/>
    </row>
    <row r="227" spans="1:15" ht="16.5">
      <c r="A227" s="215" t="s">
        <v>378</v>
      </c>
      <c r="C227" s="214">
        <v>15571.4</v>
      </c>
      <c r="D227" s="231">
        <f t="shared" si="13"/>
        <v>-2.3993681914480258E-2</v>
      </c>
      <c r="E227" s="236">
        <v>75.459999999999994</v>
      </c>
      <c r="F227" s="231">
        <f t="shared" si="14"/>
        <v>-3.5652977683878762E-3</v>
      </c>
      <c r="G227" s="145">
        <v>150.56</v>
      </c>
      <c r="H227" s="216">
        <f t="shared" si="15"/>
        <v>-1.1684390179860893E-2</v>
      </c>
      <c r="I227" s="236">
        <v>126.97</v>
      </c>
      <c r="J227" s="231">
        <f t="shared" si="16"/>
        <v>-4.4691861376823239E-3</v>
      </c>
      <c r="K227" s="148">
        <v>155.72</v>
      </c>
      <c r="L227" s="231">
        <f t="shared" si="17"/>
        <v>-4.1014903313215889E-2</v>
      </c>
      <c r="M227" s="148">
        <v>48.35</v>
      </c>
      <c r="N227" s="216">
        <f t="shared" si="18"/>
        <v>7.4444444444444535E-2</v>
      </c>
      <c r="O227" s="196"/>
    </row>
    <row r="228" spans="1:15" ht="16.5">
      <c r="A228" s="215" t="s">
        <v>379</v>
      </c>
      <c r="C228" s="214">
        <v>16333.5</v>
      </c>
      <c r="D228" s="231">
        <f t="shared" si="13"/>
        <v>4.8942291637232405E-2</v>
      </c>
      <c r="E228" s="236">
        <v>77.38</v>
      </c>
      <c r="F228" s="231">
        <f t="shared" si="14"/>
        <v>2.5443943811290781E-2</v>
      </c>
      <c r="G228" s="145">
        <v>153.36000000000001</v>
      </c>
      <c r="H228" s="216">
        <f t="shared" si="15"/>
        <v>1.8597236981934273E-2</v>
      </c>
      <c r="I228" s="236">
        <v>129.54</v>
      </c>
      <c r="J228" s="231">
        <f t="shared" si="16"/>
        <v>2.0241001811451387E-2</v>
      </c>
      <c r="K228" s="148">
        <v>162.94</v>
      </c>
      <c r="L228" s="231">
        <f t="shared" si="17"/>
        <v>4.6365270999229269E-2</v>
      </c>
      <c r="M228" s="148">
        <v>51.13</v>
      </c>
      <c r="N228" s="216">
        <f t="shared" si="18"/>
        <v>5.7497414684591464E-2</v>
      </c>
      <c r="O228" s="196"/>
    </row>
    <row r="229" spans="1:15" ht="16.5">
      <c r="A229" s="215" t="s">
        <v>380</v>
      </c>
      <c r="C229" s="214">
        <v>16600.3</v>
      </c>
      <c r="D229" s="231">
        <f t="shared" si="13"/>
        <v>1.6334527198702098E-2</v>
      </c>
      <c r="E229" s="236">
        <v>79.39</v>
      </c>
      <c r="F229" s="231">
        <f t="shared" si="14"/>
        <v>2.597570431636087E-2</v>
      </c>
      <c r="G229" s="145">
        <v>155.58000000000001</v>
      </c>
      <c r="H229" s="216">
        <f t="shared" si="15"/>
        <v>1.4475743348982828E-2</v>
      </c>
      <c r="I229" s="236">
        <v>130.18</v>
      </c>
      <c r="J229" s="231">
        <f t="shared" si="16"/>
        <v>4.9405589007258666E-3</v>
      </c>
      <c r="K229" s="148">
        <v>167.54</v>
      </c>
      <c r="L229" s="231">
        <f t="shared" si="17"/>
        <v>2.8231250767153604E-2</v>
      </c>
      <c r="M229" s="148">
        <v>50.87</v>
      </c>
      <c r="N229" s="216">
        <f t="shared" si="18"/>
        <v>-5.0850772540583788E-3</v>
      </c>
      <c r="O229" s="196"/>
    </row>
    <row r="230" spans="1:15" ht="16.5">
      <c r="A230" s="215" t="s">
        <v>381</v>
      </c>
      <c r="C230" s="214">
        <v>16344.7</v>
      </c>
      <c r="D230" s="231">
        <f t="shared" si="13"/>
        <v>-1.53973120967692E-2</v>
      </c>
      <c r="E230" s="236">
        <v>80.81</v>
      </c>
      <c r="F230" s="231">
        <f t="shared" si="14"/>
        <v>1.7886383675525863E-2</v>
      </c>
      <c r="G230" s="145">
        <v>157.72999999999999</v>
      </c>
      <c r="H230" s="216">
        <f t="shared" si="15"/>
        <v>1.3819256973903959E-2</v>
      </c>
      <c r="I230" s="236">
        <v>132.59</v>
      </c>
      <c r="J230" s="231">
        <f t="shared" si="16"/>
        <v>1.8512828391457958E-2</v>
      </c>
      <c r="K230" s="148">
        <v>169.43</v>
      </c>
      <c r="L230" s="231">
        <f t="shared" si="17"/>
        <v>1.1280888146114387E-2</v>
      </c>
      <c r="M230" s="148">
        <v>50.49</v>
      </c>
      <c r="N230" s="216">
        <f t="shared" si="18"/>
        <v>-7.4700216237467698E-3</v>
      </c>
      <c r="O230" s="196"/>
    </row>
    <row r="231" spans="1:15" ht="16.5">
      <c r="A231" s="215" t="s">
        <v>382</v>
      </c>
      <c r="C231" s="214">
        <v>15816.1</v>
      </c>
      <c r="D231" s="231">
        <f t="shared" si="13"/>
        <v>-3.2340758778074852E-2</v>
      </c>
      <c r="E231" s="236">
        <v>79.59</v>
      </c>
      <c r="F231" s="231">
        <f t="shared" si="14"/>
        <v>-1.509714144289076E-2</v>
      </c>
      <c r="G231" s="145">
        <v>156.38</v>
      </c>
      <c r="H231" s="216">
        <f t="shared" si="15"/>
        <v>-8.558929816775418E-3</v>
      </c>
      <c r="I231" s="236">
        <v>130.25</v>
      </c>
      <c r="J231" s="231">
        <f t="shared" si="16"/>
        <v>-1.7648389772984441E-2</v>
      </c>
      <c r="K231" s="148">
        <v>158.26</v>
      </c>
      <c r="L231" s="231">
        <f t="shared" si="17"/>
        <v>-6.5926931476125938E-2</v>
      </c>
      <c r="M231" s="148">
        <v>50.35</v>
      </c>
      <c r="N231" s="216">
        <f t="shared" si="18"/>
        <v>-2.7728263022380739E-3</v>
      </c>
      <c r="O231" s="196"/>
    </row>
    <row r="232" spans="1:15" ht="16.5">
      <c r="A232" s="215" t="s">
        <v>383</v>
      </c>
      <c r="C232" s="214">
        <v>16363</v>
      </c>
      <c r="D232" s="231">
        <f t="shared" si="13"/>
        <v>3.4578688804446145E-2</v>
      </c>
      <c r="E232" s="236">
        <v>81.98</v>
      </c>
      <c r="F232" s="231">
        <f t="shared" si="14"/>
        <v>3.0028898102776758E-2</v>
      </c>
      <c r="G232" s="145">
        <v>156.04</v>
      </c>
      <c r="H232" s="216">
        <f t="shared" si="15"/>
        <v>-2.1741910730272984E-3</v>
      </c>
      <c r="I232" s="236">
        <v>140.08000000000001</v>
      </c>
      <c r="J232" s="231">
        <f t="shared" si="16"/>
        <v>7.5470249520153576E-2</v>
      </c>
      <c r="K232" s="148">
        <v>164.47</v>
      </c>
      <c r="L232" s="231">
        <f t="shared" si="17"/>
        <v>3.9239226589157239E-2</v>
      </c>
      <c r="M232" s="148">
        <v>46.07</v>
      </c>
      <c r="N232" s="216">
        <f t="shared" si="18"/>
        <v>-8.5004965243296926E-2</v>
      </c>
      <c r="O232" s="196"/>
    </row>
    <row r="233" spans="1:15" ht="16.5">
      <c r="A233" s="215" t="s">
        <v>384</v>
      </c>
      <c r="C233" s="214">
        <v>16894.900000000001</v>
      </c>
      <c r="D233" s="231">
        <f t="shared" si="13"/>
        <v>3.2506264132494023E-2</v>
      </c>
      <c r="E233" s="236">
        <v>81.97</v>
      </c>
      <c r="F233" s="231">
        <f t="shared" si="14"/>
        <v>-1.2198097096860483E-4</v>
      </c>
      <c r="G233" s="145">
        <v>156.91</v>
      </c>
      <c r="H233" s="216">
        <f t="shared" si="15"/>
        <v>5.5754934632146202E-3</v>
      </c>
      <c r="I233" s="236">
        <v>141.16999999999999</v>
      </c>
      <c r="J233" s="231">
        <f t="shared" si="16"/>
        <v>7.7812678469444396E-3</v>
      </c>
      <c r="K233" s="148">
        <v>167.15</v>
      </c>
      <c r="L233" s="231">
        <f t="shared" si="17"/>
        <v>1.6294765002736078E-2</v>
      </c>
      <c r="M233" s="148">
        <v>53.35</v>
      </c>
      <c r="N233" s="216">
        <f t="shared" si="18"/>
        <v>0.15802040373344917</v>
      </c>
      <c r="O233" s="196"/>
    </row>
    <row r="234" spans="1:15" ht="16.5">
      <c r="A234" s="215" t="s">
        <v>385</v>
      </c>
      <c r="C234" s="214">
        <v>17049</v>
      </c>
      <c r="D234" s="231">
        <f t="shared" si="13"/>
        <v>9.1210957152749739E-3</v>
      </c>
      <c r="E234" s="236">
        <v>83.49</v>
      </c>
      <c r="F234" s="231">
        <f t="shared" si="14"/>
        <v>1.8543369525436004E-2</v>
      </c>
      <c r="G234" s="145">
        <v>159.88</v>
      </c>
      <c r="H234" s="216">
        <f t="shared" si="15"/>
        <v>1.8928047925562463E-2</v>
      </c>
      <c r="I234" s="236">
        <v>139.61000000000001</v>
      </c>
      <c r="J234" s="231">
        <f t="shared" si="16"/>
        <v>-1.1050506481546929E-2</v>
      </c>
      <c r="K234" s="148">
        <v>169.1</v>
      </c>
      <c r="L234" s="231">
        <f t="shared" si="17"/>
        <v>1.1666168112473674E-2</v>
      </c>
      <c r="M234" s="148">
        <v>52.94</v>
      </c>
      <c r="N234" s="216">
        <f t="shared" si="18"/>
        <v>-7.6850984067479144E-3</v>
      </c>
      <c r="O234" s="196"/>
    </row>
    <row r="235" spans="1:15" ht="16.5">
      <c r="A235" s="215" t="s">
        <v>386</v>
      </c>
      <c r="C235" s="214">
        <v>16963.400000000001</v>
      </c>
      <c r="D235" s="231">
        <f t="shared" si="13"/>
        <v>-5.0208223356207338E-3</v>
      </c>
      <c r="E235" s="236">
        <v>82.89</v>
      </c>
      <c r="F235" s="231">
        <f t="shared" si="14"/>
        <v>-7.1864893999280532E-3</v>
      </c>
      <c r="G235" s="145">
        <v>160.61000000000001</v>
      </c>
      <c r="H235" s="216">
        <f t="shared" si="15"/>
        <v>4.5659244433327029E-3</v>
      </c>
      <c r="I235" s="236">
        <v>138.44999999999999</v>
      </c>
      <c r="J235" s="231">
        <f t="shared" si="16"/>
        <v>-8.3088603968198838E-3</v>
      </c>
      <c r="K235" s="148">
        <v>168.7</v>
      </c>
      <c r="L235" s="231">
        <f t="shared" si="17"/>
        <v>-2.3654642223536193E-3</v>
      </c>
      <c r="M235" s="148">
        <v>52.96</v>
      </c>
      <c r="N235" s="216">
        <f t="shared" si="18"/>
        <v>3.7778617302608453E-4</v>
      </c>
      <c r="O235" s="196"/>
    </row>
    <row r="236" spans="1:15" ht="16.5">
      <c r="A236" s="215" t="s">
        <v>387</v>
      </c>
      <c r="C236" s="214">
        <v>16310.6</v>
      </c>
      <c r="D236" s="231">
        <f t="shared" ref="D236:D249" si="19">C236/C235-1</f>
        <v>-3.8482851315184474E-2</v>
      </c>
      <c r="E236" s="236">
        <v>81.77</v>
      </c>
      <c r="F236" s="231">
        <f t="shared" ref="F236:F249" si="20">E236/E235-1</f>
        <v>-1.3511883218723653E-2</v>
      </c>
      <c r="G236" s="145">
        <v>156.57</v>
      </c>
      <c r="H236" s="216">
        <f t="shared" ref="H236:H249" si="21">G236/G235-1</f>
        <v>-2.5154099993773826E-2</v>
      </c>
      <c r="I236" s="236">
        <v>138.34</v>
      </c>
      <c r="J236" s="231">
        <f t="shared" ref="J236:J249" si="22">I236/I235-1</f>
        <v>-7.9451065366542561E-4</v>
      </c>
      <c r="K236" s="148">
        <v>165.98</v>
      </c>
      <c r="L236" s="231">
        <f t="shared" ref="L236:L249" si="23">K236/K235-1</f>
        <v>-1.6123295791345527E-2</v>
      </c>
      <c r="M236" s="148">
        <v>51.93</v>
      </c>
      <c r="N236" s="216">
        <f t="shared" ref="N236:N249" si="24">M236/M235-1</f>
        <v>-1.9448640483383683E-2</v>
      </c>
      <c r="O236" s="196"/>
    </row>
    <row r="237" spans="1:15" ht="16.5">
      <c r="A237" s="215" t="s">
        <v>388</v>
      </c>
      <c r="C237" s="214">
        <v>16567.2</v>
      </c>
      <c r="D237" s="231">
        <f t="shared" si="19"/>
        <v>1.5732100597157794E-2</v>
      </c>
      <c r="E237" s="236">
        <v>79.28</v>
      </c>
      <c r="F237" s="231">
        <f t="shared" si="20"/>
        <v>-3.0451265745383371E-2</v>
      </c>
      <c r="G237" s="145">
        <v>154.91</v>
      </c>
      <c r="H237" s="216">
        <f t="shared" si="21"/>
        <v>-1.0602286517212733E-2</v>
      </c>
      <c r="I237" s="236">
        <v>135.63999999999999</v>
      </c>
      <c r="J237" s="231">
        <f t="shared" si="22"/>
        <v>-1.9517131704496316E-2</v>
      </c>
      <c r="K237" s="148">
        <v>163.80000000000001</v>
      </c>
      <c r="L237" s="231">
        <f t="shared" si="23"/>
        <v>-1.3134112543679799E-2</v>
      </c>
      <c r="M237" s="148">
        <v>52.45</v>
      </c>
      <c r="N237" s="216">
        <f t="shared" si="24"/>
        <v>1.0013479684190418E-2</v>
      </c>
      <c r="O237" s="196"/>
    </row>
    <row r="238" spans="1:15" ht="16.5">
      <c r="A238" s="215" t="s">
        <v>389</v>
      </c>
      <c r="C238" s="214">
        <v>16347.9</v>
      </c>
      <c r="D238" s="231">
        <f t="shared" si="19"/>
        <v>-1.3236998406489953E-2</v>
      </c>
      <c r="E238" s="236">
        <v>76.77</v>
      </c>
      <c r="F238" s="231">
        <f t="shared" si="20"/>
        <v>-3.1659939455095931E-2</v>
      </c>
      <c r="G238" s="145">
        <v>150.19</v>
      </c>
      <c r="H238" s="216">
        <f t="shared" si="21"/>
        <v>-3.0469304757601234E-2</v>
      </c>
      <c r="I238" s="236">
        <v>135.15</v>
      </c>
      <c r="J238" s="231">
        <f t="shared" si="22"/>
        <v>-3.612503686228119E-3</v>
      </c>
      <c r="K238" s="148">
        <v>159.83000000000001</v>
      </c>
      <c r="L238" s="231">
        <f t="shared" si="23"/>
        <v>-2.4236874236874262E-2</v>
      </c>
      <c r="M238" s="148">
        <v>51.59</v>
      </c>
      <c r="N238" s="216">
        <f t="shared" si="24"/>
        <v>-1.6396568160152558E-2</v>
      </c>
      <c r="O238" s="196"/>
    </row>
    <row r="239" spans="1:15" ht="16.5">
      <c r="A239" s="215" t="s">
        <v>390</v>
      </c>
      <c r="C239" s="214">
        <v>16133.2</v>
      </c>
      <c r="D239" s="231">
        <f t="shared" si="19"/>
        <v>-1.3133185302087624E-2</v>
      </c>
      <c r="E239" s="236">
        <v>75.010000000000005</v>
      </c>
      <c r="F239" s="231">
        <f t="shared" si="20"/>
        <v>-2.2925621987755496E-2</v>
      </c>
      <c r="G239" s="145">
        <v>144.12</v>
      </c>
      <c r="H239" s="216">
        <f t="shared" si="21"/>
        <v>-4.0415473733271146E-2</v>
      </c>
      <c r="I239" s="236">
        <v>130.18</v>
      </c>
      <c r="J239" s="231">
        <f t="shared" si="22"/>
        <v>-3.677395486496482E-2</v>
      </c>
      <c r="K239" s="148">
        <v>155.85</v>
      </c>
      <c r="L239" s="231">
        <f t="shared" si="23"/>
        <v>-2.4901457798911508E-2</v>
      </c>
      <c r="M239" s="148">
        <v>50.6</v>
      </c>
      <c r="N239" s="216">
        <f t="shared" si="24"/>
        <v>-1.9189765458422214E-2</v>
      </c>
      <c r="O239" s="196"/>
    </row>
    <row r="240" spans="1:15" ht="16.5">
      <c r="A240" s="215" t="s">
        <v>391</v>
      </c>
      <c r="C240" s="214">
        <v>16546.599999999999</v>
      </c>
      <c r="D240" s="231">
        <f t="shared" si="19"/>
        <v>2.5624178712220669E-2</v>
      </c>
      <c r="E240" s="236">
        <v>76.959999999999994</v>
      </c>
      <c r="F240" s="231">
        <f t="shared" si="20"/>
        <v>2.5996533795493715E-2</v>
      </c>
      <c r="G240" s="145">
        <v>146.83000000000001</v>
      </c>
      <c r="H240" s="216">
        <f t="shared" si="21"/>
        <v>1.8803774632250914E-2</v>
      </c>
      <c r="I240" s="236">
        <v>134.08000000000001</v>
      </c>
      <c r="J240" s="231">
        <f t="shared" si="22"/>
        <v>2.9958518973728809E-2</v>
      </c>
      <c r="K240" s="148">
        <v>158.66</v>
      </c>
      <c r="L240" s="231">
        <f t="shared" si="23"/>
        <v>1.8030157202438168E-2</v>
      </c>
      <c r="M240" s="148">
        <v>51.27</v>
      </c>
      <c r="N240" s="216">
        <f t="shared" si="24"/>
        <v>1.3241106719367624E-2</v>
      </c>
      <c r="O240" s="196"/>
    </row>
    <row r="241" spans="1:15" ht="16.5">
      <c r="A241" s="215" t="s">
        <v>392</v>
      </c>
      <c r="C241" s="214">
        <v>16965.8</v>
      </c>
      <c r="D241" s="231">
        <f t="shared" si="19"/>
        <v>2.5334509808661698E-2</v>
      </c>
      <c r="E241" s="236">
        <v>76.17</v>
      </c>
      <c r="F241" s="231">
        <f t="shared" si="20"/>
        <v>-1.0265072765072714E-2</v>
      </c>
      <c r="G241" s="145">
        <v>146.41999999999999</v>
      </c>
      <c r="H241" s="216">
        <f t="shared" si="21"/>
        <v>-2.7923448886468805E-3</v>
      </c>
      <c r="I241" s="236">
        <v>132.41999999999999</v>
      </c>
      <c r="J241" s="231">
        <f t="shared" si="22"/>
        <v>-1.2380668257756744E-2</v>
      </c>
      <c r="K241" s="148">
        <v>161.78</v>
      </c>
      <c r="L241" s="231">
        <f t="shared" si="23"/>
        <v>1.9664691793772837E-2</v>
      </c>
      <c r="M241" s="148">
        <v>51.3</v>
      </c>
      <c r="N241" s="216">
        <f t="shared" si="24"/>
        <v>5.8513750731403746E-4</v>
      </c>
      <c r="O241" s="196"/>
    </row>
    <row r="242" spans="1:15" ht="16.5">
      <c r="A242" s="215" t="s">
        <v>393</v>
      </c>
      <c r="C242" s="214">
        <v>17145</v>
      </c>
      <c r="D242" s="231">
        <f t="shared" si="19"/>
        <v>1.0562425585589841E-2</v>
      </c>
      <c r="E242" s="236">
        <v>77.010000000000005</v>
      </c>
      <c r="F242" s="231">
        <f t="shared" si="20"/>
        <v>1.1027963765261939E-2</v>
      </c>
      <c r="G242" s="145">
        <v>144.02000000000001</v>
      </c>
      <c r="H242" s="216">
        <f t="shared" si="21"/>
        <v>-1.6391203387515207E-2</v>
      </c>
      <c r="I242" s="236">
        <v>130.96</v>
      </c>
      <c r="J242" s="231">
        <f t="shared" si="22"/>
        <v>-1.1025524845189372E-2</v>
      </c>
      <c r="K242" s="148">
        <v>162.01</v>
      </c>
      <c r="L242" s="231">
        <f t="shared" si="23"/>
        <v>1.4216837680800509E-3</v>
      </c>
      <c r="M242" s="148">
        <v>52.32</v>
      </c>
      <c r="N242" s="216">
        <f t="shared" si="24"/>
        <v>1.9883040935672502E-2</v>
      </c>
      <c r="O242" s="196"/>
    </row>
    <row r="243" spans="1:15" ht="16.5">
      <c r="A243" s="215" t="s">
        <v>394</v>
      </c>
      <c r="C243" s="214">
        <v>17016.400000000001</v>
      </c>
      <c r="D243" s="231">
        <f t="shared" si="19"/>
        <v>-7.5007290755321199E-3</v>
      </c>
      <c r="E243" s="236">
        <v>75.569999999999993</v>
      </c>
      <c r="F243" s="231">
        <f t="shared" si="20"/>
        <v>-1.8698870276587565E-2</v>
      </c>
      <c r="G243" s="145">
        <v>142.28</v>
      </c>
      <c r="H243" s="216">
        <f t="shared" si="21"/>
        <v>-1.208165532564931E-2</v>
      </c>
      <c r="I243" s="236">
        <v>129.52000000000001</v>
      </c>
      <c r="J243" s="231">
        <f t="shared" si="22"/>
        <v>-1.0995723885155795E-2</v>
      </c>
      <c r="K243" s="148">
        <v>159.4</v>
      </c>
      <c r="L243" s="231">
        <f t="shared" si="23"/>
        <v>-1.6110116659465379E-2</v>
      </c>
      <c r="M243" s="148">
        <v>52.63</v>
      </c>
      <c r="N243" s="216">
        <f t="shared" si="24"/>
        <v>5.9250764525995425E-3</v>
      </c>
      <c r="O243" s="196"/>
    </row>
    <row r="244" spans="1:15" ht="16.5">
      <c r="A244" s="215" t="s">
        <v>395</v>
      </c>
      <c r="C244" s="214">
        <v>16920.400000000001</v>
      </c>
      <c r="D244" s="231">
        <f t="shared" si="19"/>
        <v>-5.6416163230765815E-3</v>
      </c>
      <c r="E244" s="236">
        <v>74.2</v>
      </c>
      <c r="F244" s="231">
        <f t="shared" si="20"/>
        <v>-1.812888712452021E-2</v>
      </c>
      <c r="G244" s="145">
        <v>139.05000000000001</v>
      </c>
      <c r="H244" s="216">
        <f t="shared" si="21"/>
        <v>-2.2701714928310301E-2</v>
      </c>
      <c r="I244" s="236">
        <v>125.27</v>
      </c>
      <c r="J244" s="231">
        <f t="shared" si="22"/>
        <v>-3.2813465101914852E-2</v>
      </c>
      <c r="K244" s="148">
        <v>160.61000000000001</v>
      </c>
      <c r="L244" s="231">
        <f t="shared" si="23"/>
        <v>7.5909661229611736E-3</v>
      </c>
      <c r="M244" s="148">
        <v>53.29</v>
      </c>
      <c r="N244" s="216">
        <f t="shared" si="24"/>
        <v>1.2540376211286342E-2</v>
      </c>
      <c r="O244" s="196"/>
    </row>
    <row r="245" spans="1:15" ht="16.5">
      <c r="A245" s="215" t="s">
        <v>396</v>
      </c>
      <c r="C245" s="214">
        <v>16776.599999999999</v>
      </c>
      <c r="D245" s="231">
        <f t="shared" si="19"/>
        <v>-8.4986170539704808E-3</v>
      </c>
      <c r="E245" s="236">
        <v>74.290000000000006</v>
      </c>
      <c r="F245" s="231">
        <f t="shared" si="20"/>
        <v>1.2129380053909067E-3</v>
      </c>
      <c r="G245" s="145">
        <v>138.80000000000001</v>
      </c>
      <c r="H245" s="216">
        <f t="shared" si="21"/>
        <v>-1.7979144192736829E-3</v>
      </c>
      <c r="I245" s="236">
        <v>128.15</v>
      </c>
      <c r="J245" s="231">
        <f t="shared" si="22"/>
        <v>2.2990340863734415E-2</v>
      </c>
      <c r="K245" s="148">
        <v>159.19999999999999</v>
      </c>
      <c r="L245" s="231">
        <f t="shared" si="23"/>
        <v>-8.7790299483221368E-3</v>
      </c>
      <c r="M245" s="148">
        <v>52.26</v>
      </c>
      <c r="N245" s="216">
        <f t="shared" si="24"/>
        <v>-1.9328204165884766E-2</v>
      </c>
      <c r="O245" s="196"/>
    </row>
    <row r="246" spans="1:15" ht="16.5">
      <c r="A246" s="215" t="s">
        <v>397</v>
      </c>
      <c r="C246" s="214">
        <v>16359.4</v>
      </c>
      <c r="D246" s="231">
        <f t="shared" si="19"/>
        <v>-2.48679708641798E-2</v>
      </c>
      <c r="E246" s="236">
        <v>75.08</v>
      </c>
      <c r="F246" s="231">
        <f t="shared" si="20"/>
        <v>1.0634001884506583E-2</v>
      </c>
      <c r="G246" s="145">
        <v>141.02000000000001</v>
      </c>
      <c r="H246" s="216">
        <f t="shared" si="21"/>
        <v>1.5994236311239085E-2</v>
      </c>
      <c r="I246" s="236">
        <v>131.44999999999999</v>
      </c>
      <c r="J246" s="231">
        <f t="shared" si="22"/>
        <v>2.5751072961373245E-2</v>
      </c>
      <c r="K246" s="148">
        <v>157.34</v>
      </c>
      <c r="L246" s="231">
        <f t="shared" si="23"/>
        <v>-1.1683417085427084E-2</v>
      </c>
      <c r="M246" s="148">
        <v>52.18</v>
      </c>
      <c r="N246" s="216">
        <f t="shared" si="24"/>
        <v>-1.5308075009566879E-3</v>
      </c>
      <c r="O246" s="196"/>
    </row>
    <row r="247" spans="1:15" ht="16.5">
      <c r="A247" s="215" t="s">
        <v>398</v>
      </c>
      <c r="C247" s="214">
        <v>16096.9</v>
      </c>
      <c r="D247" s="231">
        <f t="shared" si="19"/>
        <v>-1.6045820751372286E-2</v>
      </c>
      <c r="E247" s="236">
        <v>74.010000000000005</v>
      </c>
      <c r="F247" s="231">
        <f t="shared" si="20"/>
        <v>-1.4251465103889083E-2</v>
      </c>
      <c r="G247" s="145">
        <v>137.6</v>
      </c>
      <c r="H247" s="216">
        <f t="shared" si="21"/>
        <v>-2.4251879166075851E-2</v>
      </c>
      <c r="I247" s="236">
        <v>131.11000000000001</v>
      </c>
      <c r="J247" s="231">
        <f t="shared" si="22"/>
        <v>-2.5865348041078651E-3</v>
      </c>
      <c r="K247" s="148">
        <v>157.66999999999999</v>
      </c>
      <c r="L247" s="231">
        <f t="shared" si="23"/>
        <v>2.097368755561213E-3</v>
      </c>
      <c r="M247" s="148">
        <v>52.51</v>
      </c>
      <c r="N247" s="216">
        <f t="shared" si="24"/>
        <v>6.3242621694135082E-3</v>
      </c>
      <c r="O247" s="196"/>
    </row>
    <row r="248" spans="1:15" ht="16.5">
      <c r="A248" s="215" t="s">
        <v>399</v>
      </c>
      <c r="C248" s="214">
        <v>16094.5</v>
      </c>
      <c r="D248" s="231">
        <f t="shared" si="19"/>
        <v>-1.4909703110532746E-4</v>
      </c>
      <c r="E248" s="236">
        <v>75.069999999999993</v>
      </c>
      <c r="F248" s="231">
        <f t="shared" si="20"/>
        <v>1.4322388866369273E-2</v>
      </c>
      <c r="G248" s="145">
        <v>138.32</v>
      </c>
      <c r="H248" s="216">
        <f t="shared" si="21"/>
        <v>5.2325581395349374E-3</v>
      </c>
      <c r="I248" s="236">
        <v>131.16</v>
      </c>
      <c r="J248" s="231">
        <f t="shared" si="22"/>
        <v>3.8135916406067949E-4</v>
      </c>
      <c r="K248" s="148">
        <v>158.62</v>
      </c>
      <c r="L248" s="231">
        <f t="shared" si="23"/>
        <v>6.0252425952940225E-3</v>
      </c>
      <c r="M248" s="148">
        <v>53.81</v>
      </c>
      <c r="N248" s="216">
        <f t="shared" si="24"/>
        <v>2.4757189106836774E-2</v>
      </c>
      <c r="O248" s="196"/>
    </row>
    <row r="249" spans="1:15" ht="17.25" thickBot="1">
      <c r="A249" s="217" t="s">
        <v>400</v>
      </c>
      <c r="B249" s="202"/>
      <c r="C249" s="218">
        <v>15988</v>
      </c>
      <c r="D249" s="232">
        <f t="shared" si="19"/>
        <v>-6.6171673553077071E-3</v>
      </c>
      <c r="E249" s="237">
        <v>75.69</v>
      </c>
      <c r="F249" s="232">
        <f t="shared" si="20"/>
        <v>8.258958305581432E-3</v>
      </c>
      <c r="G249" s="221">
        <v>141.97</v>
      </c>
      <c r="H249" s="219">
        <f t="shared" si="21"/>
        <v>2.6388085598612054E-2</v>
      </c>
      <c r="I249" s="237">
        <v>132.84</v>
      </c>
      <c r="J249" s="232">
        <f t="shared" si="22"/>
        <v>1.2808783165599413E-2</v>
      </c>
      <c r="K249" s="220">
        <v>162.16</v>
      </c>
      <c r="L249" s="232">
        <f t="shared" si="23"/>
        <v>2.2317488336905722E-2</v>
      </c>
      <c r="M249" s="220">
        <v>53.86</v>
      </c>
      <c r="N249" s="219">
        <f t="shared" si="24"/>
        <v>9.2919531685553558E-4</v>
      </c>
      <c r="O249" s="222"/>
    </row>
    <row r="250" spans="1:15" ht="16.5">
      <c r="A250" s="146"/>
      <c r="E250" s="148"/>
      <c r="G250" s="145"/>
      <c r="I250" s="149"/>
      <c r="K250" s="148"/>
      <c r="M250" s="149"/>
      <c r="O250" s="148"/>
    </row>
    <row r="251" spans="1:15">
      <c r="A251" s="146"/>
    </row>
    <row r="252" spans="1:15" s="179" customFormat="1">
      <c r="A252" s="248"/>
    </row>
    <row r="253" spans="1:15">
      <c r="A253" s="146"/>
    </row>
    <row r="254" spans="1:15">
      <c r="A254" s="146"/>
    </row>
    <row r="255" spans="1:15">
      <c r="A255" s="146"/>
    </row>
    <row r="256" spans="1:15">
      <c r="A256" s="146"/>
    </row>
    <row r="257" spans="1:1">
      <c r="A257" s="146"/>
    </row>
    <row r="258" spans="1:1">
      <c r="A258" s="146"/>
    </row>
    <row r="259" spans="1:1">
      <c r="A259" s="146"/>
    </row>
    <row r="260" spans="1:1">
      <c r="A260" s="146"/>
    </row>
    <row r="261" spans="1:1">
      <c r="A261" s="146"/>
    </row>
    <row r="262" spans="1:1">
      <c r="A262" s="146"/>
    </row>
    <row r="263" spans="1:1">
      <c r="A263" s="146"/>
    </row>
  </sheetData>
  <mergeCells count="8">
    <mergeCell ref="M36:N36"/>
    <mergeCell ref="C36:D36"/>
    <mergeCell ref="A1:A2"/>
    <mergeCell ref="E36:F36"/>
    <mergeCell ref="G36:H36"/>
    <mergeCell ref="I36:J36"/>
    <mergeCell ref="K36:L36"/>
    <mergeCell ref="G29:H2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9"/>
  <sheetViews>
    <sheetView showGridLines="0" topLeftCell="A26" workbookViewId="0">
      <selection activeCell="F44" sqref="F44"/>
    </sheetView>
  </sheetViews>
  <sheetFormatPr defaultColWidth="9" defaultRowHeight="15"/>
  <cols>
    <col min="1" max="1" width="22" customWidth="1"/>
    <col min="2" max="2" width="12.5703125" customWidth="1"/>
    <col min="3" max="3" width="11.140625" customWidth="1"/>
    <col min="4" max="4" width="11.28515625" customWidth="1"/>
    <col min="5" max="5" width="11.5703125" customWidth="1"/>
    <col min="6" max="6" width="10.7109375" customWidth="1"/>
    <col min="7" max="7" width="10.85546875" customWidth="1"/>
    <col min="8" max="8" width="11.28515625" customWidth="1"/>
    <col min="9" max="9" width="10.85546875" customWidth="1"/>
    <col min="10" max="10" width="10.7109375" customWidth="1"/>
    <col min="11" max="11" width="11" customWidth="1"/>
  </cols>
  <sheetData>
    <row r="2" spans="1:11" ht="15.75">
      <c r="A2" s="327" t="s">
        <v>0</v>
      </c>
      <c r="B2" s="58"/>
      <c r="C2" s="322" t="s">
        <v>1</v>
      </c>
      <c r="D2" s="323"/>
      <c r="E2" s="323"/>
      <c r="F2" s="323"/>
      <c r="G2" s="324" t="s">
        <v>2</v>
      </c>
      <c r="H2" s="325"/>
      <c r="I2" s="325"/>
      <c r="J2" s="325"/>
      <c r="K2" s="326"/>
    </row>
    <row r="3" spans="1:11" ht="16.5" thickBot="1">
      <c r="A3" s="327"/>
      <c r="B3" s="58" t="s">
        <v>3</v>
      </c>
      <c r="C3" s="59">
        <v>2021</v>
      </c>
      <c r="D3" s="60">
        <f>C3+1</f>
        <v>2022</v>
      </c>
      <c r="E3" s="60">
        <f t="shared" ref="E3:H3" si="0">D3+1</f>
        <v>2023</v>
      </c>
      <c r="F3" s="61">
        <f t="shared" si="0"/>
        <v>2024</v>
      </c>
      <c r="G3" s="62">
        <f t="shared" si="0"/>
        <v>2025</v>
      </c>
      <c r="H3" s="62">
        <f t="shared" si="0"/>
        <v>2026</v>
      </c>
      <c r="I3" s="62">
        <f t="shared" ref="I3:K3" si="1">H3+1</f>
        <v>2027</v>
      </c>
      <c r="J3" s="62">
        <f t="shared" si="1"/>
        <v>2028</v>
      </c>
      <c r="K3" s="88">
        <f t="shared" si="1"/>
        <v>2029</v>
      </c>
    </row>
    <row r="4" spans="1:11">
      <c r="A4" s="21"/>
      <c r="B4" s="21"/>
      <c r="C4" s="22"/>
      <c r="D4" s="23"/>
      <c r="E4" s="23"/>
      <c r="F4" s="24"/>
      <c r="G4" s="63"/>
      <c r="H4" s="63"/>
      <c r="I4" s="63"/>
      <c r="J4" s="63"/>
      <c r="K4" s="249"/>
    </row>
    <row r="5" spans="1:11">
      <c r="A5" s="64" t="s">
        <v>4</v>
      </c>
      <c r="C5" s="65">
        <v>3694</v>
      </c>
      <c r="D5" s="65">
        <v>3816</v>
      </c>
      <c r="E5" s="65">
        <v>4091</v>
      </c>
      <c r="F5" s="66">
        <v>4113</v>
      </c>
      <c r="G5" s="67">
        <f>F5*(1+G8)</f>
        <v>4108.0644000000002</v>
      </c>
      <c r="H5" s="67">
        <f t="shared" ref="H5:K5" si="2">G5*(1+H8)</f>
        <v>4132.7127864000004</v>
      </c>
      <c r="I5" s="67">
        <f t="shared" si="2"/>
        <v>4187.2645951804798</v>
      </c>
      <c r="J5" s="67">
        <f t="shared" si="2"/>
        <v>4272.6847929221603</v>
      </c>
      <c r="K5" s="250">
        <f t="shared" si="2"/>
        <v>4400.8653367098304</v>
      </c>
    </row>
    <row r="6" spans="1:11">
      <c r="A6" s="35" t="s">
        <v>5</v>
      </c>
      <c r="C6" s="68"/>
      <c r="D6" s="69">
        <v>3.5000000000000003E-2</v>
      </c>
      <c r="E6" s="69">
        <v>2.1999999999999999E-2</v>
      </c>
      <c r="F6" s="70">
        <v>5.0000000000000001E-3</v>
      </c>
      <c r="G6" s="71"/>
      <c r="H6" s="71"/>
      <c r="I6" s="71"/>
      <c r="J6" s="71"/>
      <c r="K6" s="251"/>
    </row>
    <row r="7" spans="1:11">
      <c r="A7" s="35" t="s">
        <v>6</v>
      </c>
      <c r="C7" s="68"/>
      <c r="D7" s="72">
        <v>0</v>
      </c>
      <c r="E7" s="72">
        <v>2E-3</v>
      </c>
      <c r="F7" s="73">
        <v>1E-3</v>
      </c>
      <c r="G7" s="71"/>
      <c r="H7" s="71"/>
      <c r="I7" s="71"/>
      <c r="J7" s="71"/>
      <c r="K7" s="251"/>
    </row>
    <row r="8" spans="1:11">
      <c r="A8" s="35" t="s">
        <v>7</v>
      </c>
      <c r="C8" s="68"/>
      <c r="D8" s="69">
        <f>D6+D7</f>
        <v>3.5000000000000003E-2</v>
      </c>
      <c r="E8" s="74">
        <f>E6+E7</f>
        <v>2.4E-2</v>
      </c>
      <c r="F8" s="75">
        <f>F6+F7</f>
        <v>6.0000000000000001E-3</v>
      </c>
      <c r="G8" s="71">
        <f>F8-($F$8+$K$8)/5</f>
        <v>-1.1999999999999999E-3</v>
      </c>
      <c r="H8" s="71">
        <f t="shared" ref="H8:J8" si="3">G8+($F$8+$K$8)/5</f>
        <v>6.0000000000000001E-3</v>
      </c>
      <c r="I8" s="71">
        <f t="shared" si="3"/>
        <v>1.32E-2</v>
      </c>
      <c r="J8" s="71">
        <f t="shared" si="3"/>
        <v>2.0400000000000001E-2</v>
      </c>
      <c r="K8" s="251">
        <v>0.03</v>
      </c>
    </row>
    <row r="9" spans="1:11">
      <c r="C9" s="68"/>
      <c r="D9" s="68"/>
      <c r="E9" s="68"/>
      <c r="F9" s="76"/>
      <c r="G9" s="77"/>
      <c r="H9" s="77"/>
      <c r="I9" s="77"/>
      <c r="J9" s="77"/>
      <c r="K9" s="252"/>
    </row>
    <row r="10" spans="1:11">
      <c r="A10" s="64" t="s">
        <v>8</v>
      </c>
      <c r="C10" s="65">
        <v>3663</v>
      </c>
      <c r="D10" s="65">
        <v>3982</v>
      </c>
      <c r="E10" s="65">
        <v>4640</v>
      </c>
      <c r="F10" s="66">
        <v>4782</v>
      </c>
      <c r="G10" s="78">
        <f>F10*(1+G13)</f>
        <v>5590.5537517241401</v>
      </c>
      <c r="H10" s="78">
        <f t="shared" ref="H10:K10" si="4">G10*(1+H13)</f>
        <v>6544.0901662811402</v>
      </c>
      <c r="I10" s="78">
        <f t="shared" si="4"/>
        <v>7669.9444648194103</v>
      </c>
      <c r="J10" s="78">
        <f t="shared" si="4"/>
        <v>9000.8385179717498</v>
      </c>
      <c r="K10" s="253">
        <f t="shared" si="4"/>
        <v>10575.9852586168</v>
      </c>
    </row>
    <row r="11" spans="1:11">
      <c r="A11" s="35" t="s">
        <v>5</v>
      </c>
      <c r="C11" s="79"/>
      <c r="D11" s="69">
        <v>8.5000000000000006E-2</v>
      </c>
      <c r="E11" s="69">
        <f>E10/D10-1</f>
        <v>0.165243596182823</v>
      </c>
      <c r="F11" s="75">
        <f>F10/E10-1</f>
        <v>3.0603448275862099E-2</v>
      </c>
      <c r="G11" s="77"/>
      <c r="H11" s="77"/>
      <c r="I11" s="77"/>
      <c r="J11" s="77"/>
      <c r="K11" s="252"/>
    </row>
    <row r="12" spans="1:11">
      <c r="A12" s="35" t="s">
        <v>6</v>
      </c>
      <c r="C12" s="79"/>
      <c r="D12" s="72">
        <v>2E-3</v>
      </c>
      <c r="E12" s="72">
        <v>-1.0999999999999999E-2</v>
      </c>
      <c r="F12" s="73">
        <v>0.13700000000000001</v>
      </c>
      <c r="G12" s="77"/>
      <c r="H12" s="77"/>
      <c r="I12" s="77"/>
      <c r="J12" s="77"/>
      <c r="K12" s="252"/>
    </row>
    <row r="13" spans="1:11">
      <c r="A13" s="35" t="s">
        <v>7</v>
      </c>
      <c r="C13" s="68"/>
      <c r="D13" s="69">
        <f>D11+D12</f>
        <v>8.6999999999999994E-2</v>
      </c>
      <c r="E13" s="69">
        <f>E11+E12</f>
        <v>0.15424359618282299</v>
      </c>
      <c r="F13" s="75">
        <f>F11+F12</f>
        <v>0.16760344827586199</v>
      </c>
      <c r="G13" s="80">
        <f>F13+($K$13-$F$13)/5</f>
        <v>0.16908275862069</v>
      </c>
      <c r="H13" s="80">
        <f t="shared" ref="H13:J13" si="5">G13+($K$13-$F$13)/5</f>
        <v>0.17056206896551701</v>
      </c>
      <c r="I13" s="80">
        <f t="shared" si="5"/>
        <v>0.17204137931034499</v>
      </c>
      <c r="J13" s="80">
        <f t="shared" si="5"/>
        <v>0.17352068965517201</v>
      </c>
      <c r="K13" s="254">
        <v>0.17499999999999999</v>
      </c>
    </row>
    <row r="14" spans="1:11">
      <c r="C14" s="68"/>
      <c r="D14" s="68"/>
      <c r="E14" s="68"/>
      <c r="F14" s="76"/>
      <c r="G14" s="81"/>
      <c r="H14" s="77"/>
      <c r="I14" s="77"/>
      <c r="J14" s="77"/>
      <c r="K14" s="252"/>
    </row>
    <row r="15" spans="1:11">
      <c r="A15" s="64" t="s">
        <v>9</v>
      </c>
      <c r="C15" s="65">
        <v>2841</v>
      </c>
      <c r="D15" s="65">
        <v>2548</v>
      </c>
      <c r="E15" s="65">
        <v>2571</v>
      </c>
      <c r="F15" s="66">
        <v>2770</v>
      </c>
      <c r="G15" s="67">
        <f>F15*(1+G18)</f>
        <v>2958.6963648385799</v>
      </c>
      <c r="H15" s="67">
        <f t="shared" ref="H15:K15" si="6">G15*(1+H18)</f>
        <v>3165.33489515571</v>
      </c>
      <c r="I15" s="67">
        <f t="shared" si="6"/>
        <v>3391.8485256035801</v>
      </c>
      <c r="J15" s="67">
        <f t="shared" si="6"/>
        <v>3640.4043992901302</v>
      </c>
      <c r="K15" s="250">
        <f t="shared" si="6"/>
        <v>3913.4347292368898</v>
      </c>
    </row>
    <row r="16" spans="1:11">
      <c r="A16" s="35" t="s">
        <v>5</v>
      </c>
      <c r="C16" s="79"/>
      <c r="D16" s="69">
        <v>-0.105</v>
      </c>
      <c r="E16" s="69">
        <v>8.8999999999999996E-2</v>
      </c>
      <c r="F16" s="75">
        <f>F15/E15-1</f>
        <v>7.7401789187086803E-2</v>
      </c>
      <c r="G16" s="77"/>
      <c r="H16" s="77"/>
      <c r="I16" s="77"/>
      <c r="J16" s="77"/>
      <c r="K16" s="252"/>
    </row>
    <row r="17" spans="1:11">
      <c r="A17" s="35" t="s">
        <v>6</v>
      </c>
      <c r="C17" s="79"/>
      <c r="D17" s="72">
        <v>0.105</v>
      </c>
      <c r="E17" s="72">
        <v>-2.5999999999999999E-2</v>
      </c>
      <c r="F17" s="73">
        <v>-1.0999999999999999E-2</v>
      </c>
      <c r="G17" s="82"/>
      <c r="H17" s="82"/>
      <c r="I17" s="82"/>
      <c r="J17" s="77"/>
      <c r="K17" s="252"/>
    </row>
    <row r="18" spans="1:11">
      <c r="A18" s="35" t="s">
        <v>7</v>
      </c>
      <c r="C18" s="68"/>
      <c r="D18" s="69">
        <f>D16+D17</f>
        <v>0</v>
      </c>
      <c r="E18" s="69">
        <f>E16+E17</f>
        <v>6.3E-2</v>
      </c>
      <c r="F18" s="75">
        <f>F16+F17</f>
        <v>6.6401789187086793E-2</v>
      </c>
      <c r="G18" s="80">
        <f>F18+($K$18-$F$18)/5</f>
        <v>6.8121431349669498E-2</v>
      </c>
      <c r="H18" s="80">
        <f t="shared" ref="H18:J18" si="7">G18+($K$18-$F$18)/5</f>
        <v>6.9841073512252105E-2</v>
      </c>
      <c r="I18" s="80">
        <f t="shared" si="7"/>
        <v>7.1560715674834796E-2</v>
      </c>
      <c r="J18" s="80">
        <f t="shared" si="7"/>
        <v>7.3280357837417404E-2</v>
      </c>
      <c r="K18" s="255">
        <v>7.4999999999999997E-2</v>
      </c>
    </row>
    <row r="19" spans="1:11">
      <c r="C19" s="68"/>
      <c r="D19" s="68"/>
      <c r="E19" s="68"/>
      <c r="F19" s="76"/>
      <c r="G19" s="81"/>
      <c r="H19" s="77"/>
      <c r="I19" s="77"/>
      <c r="J19" s="77"/>
      <c r="K19" s="252"/>
    </row>
    <row r="20" spans="1:11">
      <c r="A20" s="64" t="s">
        <v>10</v>
      </c>
      <c r="C20" s="65">
        <v>2867</v>
      </c>
      <c r="D20" s="65">
        <v>2826</v>
      </c>
      <c r="E20" s="65">
        <v>2782</v>
      </c>
      <c r="F20" s="66">
        <v>2858</v>
      </c>
      <c r="G20" s="67">
        <f>F20*(1+G23)</f>
        <v>2975.9061633357301</v>
      </c>
      <c r="H20" s="67">
        <f t="shared" ref="H20:K20" si="8">G20*(1+H23)</f>
        <v>3101.4628748616901</v>
      </c>
      <c r="I20" s="67">
        <f t="shared" si="8"/>
        <v>3235.2208749735</v>
      </c>
      <c r="J20" s="67">
        <f t="shared" si="8"/>
        <v>3377.77666145905</v>
      </c>
      <c r="K20" s="250">
        <f t="shared" si="8"/>
        <v>3529.77661122471</v>
      </c>
    </row>
    <row r="21" spans="1:11">
      <c r="A21" s="35" t="s">
        <v>5</v>
      </c>
      <c r="C21" s="79"/>
      <c r="D21" s="69">
        <v>-1.4999999999999999E-2</v>
      </c>
      <c r="E21" s="69">
        <v>-1.6E-2</v>
      </c>
      <c r="F21" s="75">
        <f>F20/E20-1</f>
        <v>2.7318475916606699E-2</v>
      </c>
      <c r="G21" s="77"/>
      <c r="H21" s="77"/>
      <c r="I21" s="77"/>
      <c r="J21" s="77"/>
      <c r="K21" s="252"/>
    </row>
    <row r="22" spans="1:11">
      <c r="A22" s="35" t="s">
        <v>6</v>
      </c>
      <c r="C22" s="79"/>
      <c r="D22" s="72">
        <v>6.5000000000000002E-2</v>
      </c>
      <c r="E22" s="72">
        <v>3.7999999999999999E-2</v>
      </c>
      <c r="F22" s="73">
        <v>1.2999999999999999E-2</v>
      </c>
      <c r="G22" s="77"/>
      <c r="H22" s="77"/>
      <c r="I22" s="77"/>
      <c r="J22" s="77"/>
      <c r="K22" s="252"/>
    </row>
    <row r="23" spans="1:11">
      <c r="A23" s="35" t="s">
        <v>7</v>
      </c>
      <c r="C23" s="68"/>
      <c r="D23" s="69">
        <f>D21+D22</f>
        <v>0.05</v>
      </c>
      <c r="E23" s="69">
        <f>E21+E22</f>
        <v>2.1999999999999999E-2</v>
      </c>
      <c r="F23" s="75">
        <f>F21+F22</f>
        <v>4.03184759166067E-2</v>
      </c>
      <c r="G23" s="80">
        <f>F23+($K$23-$F$23)/5</f>
        <v>4.1254780733285402E-2</v>
      </c>
      <c r="H23" s="80">
        <f t="shared" ref="H23:J23" si="9">G23+($K$23-$F$23)/5</f>
        <v>4.2191085549964001E-2</v>
      </c>
      <c r="I23" s="80">
        <f t="shared" si="9"/>
        <v>4.3127390366642697E-2</v>
      </c>
      <c r="J23" s="80">
        <f t="shared" si="9"/>
        <v>4.40636951833214E-2</v>
      </c>
      <c r="K23" s="256">
        <v>4.4999999999999998E-2</v>
      </c>
    </row>
    <row r="24" spans="1:11">
      <c r="C24" s="68"/>
      <c r="D24" s="68"/>
      <c r="E24" s="68"/>
      <c r="F24" s="76"/>
      <c r="G24" s="77"/>
      <c r="H24" s="77"/>
      <c r="I24" s="77"/>
      <c r="J24" s="77"/>
      <c r="K24" s="252"/>
    </row>
    <row r="25" spans="1:11">
      <c r="A25" s="64" t="s">
        <v>11</v>
      </c>
      <c r="C25" s="65">
        <v>1045</v>
      </c>
      <c r="D25" s="65">
        <v>1082</v>
      </c>
      <c r="E25" s="65">
        <v>1083</v>
      </c>
      <c r="F25" s="66">
        <v>1095</v>
      </c>
      <c r="G25" s="67">
        <f>F25*(1+G28)</f>
        <v>1241.36237119114</v>
      </c>
      <c r="H25" s="67">
        <f t="shared" ref="H25:K25" si="10">G25*(1+H28)</f>
        <v>1409.2543967547299</v>
      </c>
      <c r="I25" s="67">
        <f t="shared" si="10"/>
        <v>1602.0856817515601</v>
      </c>
      <c r="J25" s="67">
        <f t="shared" si="10"/>
        <v>1823.84007998674</v>
      </c>
      <c r="K25" s="250">
        <f t="shared" si="10"/>
        <v>2079.1776911848801</v>
      </c>
    </row>
    <row r="26" spans="1:11">
      <c r="A26" s="35" t="s">
        <v>5</v>
      </c>
      <c r="C26" s="79"/>
      <c r="D26" s="69">
        <v>3.5000000000000003E-2</v>
      </c>
      <c r="E26" s="69">
        <v>1E-3</v>
      </c>
      <c r="F26" s="75">
        <f>F25/E25-1</f>
        <v>1.10803324099722E-2</v>
      </c>
      <c r="G26" s="77"/>
      <c r="H26" s="77"/>
      <c r="I26" s="77"/>
      <c r="J26" s="77"/>
      <c r="K26" s="252"/>
    </row>
    <row r="27" spans="1:11">
      <c r="A27" s="35" t="s">
        <v>6</v>
      </c>
      <c r="C27" s="79"/>
      <c r="D27" s="72">
        <v>8.5000000000000006E-2</v>
      </c>
      <c r="E27" s="72">
        <v>0.17199999999999999</v>
      </c>
      <c r="F27" s="73">
        <v>0.121</v>
      </c>
      <c r="G27" s="77"/>
      <c r="H27" s="77"/>
      <c r="I27" s="77"/>
      <c r="J27" s="77"/>
      <c r="K27" s="252"/>
    </row>
    <row r="28" spans="1:11">
      <c r="A28" s="35" t="s">
        <v>7</v>
      </c>
      <c r="C28" s="68"/>
      <c r="D28" s="69">
        <f>D26+D27</f>
        <v>0.12</v>
      </c>
      <c r="E28" s="69">
        <f>E26+E27</f>
        <v>0.17299999999999999</v>
      </c>
      <c r="F28" s="75">
        <f>F26+F27</f>
        <v>0.132080332409972</v>
      </c>
      <c r="G28" s="80">
        <f>F28+($K$28-$F$28)/5</f>
        <v>0.133664265927978</v>
      </c>
      <c r="H28" s="80">
        <f t="shared" ref="H28:J28" si="11">G28+($K$28-$F$28)/5</f>
        <v>0.13524819944598299</v>
      </c>
      <c r="I28" s="80">
        <f t="shared" si="11"/>
        <v>0.13683213296398899</v>
      </c>
      <c r="J28" s="80">
        <f t="shared" si="11"/>
        <v>0.138416066481994</v>
      </c>
      <c r="K28" s="256">
        <v>0.14000000000000001</v>
      </c>
    </row>
    <row r="29" spans="1:11">
      <c r="C29" s="68"/>
      <c r="D29" s="68"/>
      <c r="E29" s="68"/>
      <c r="F29" s="76"/>
      <c r="G29" s="77"/>
      <c r="H29" s="77"/>
      <c r="I29" s="77"/>
      <c r="J29" s="77"/>
      <c r="K29" s="252"/>
    </row>
    <row r="30" spans="1:11">
      <c r="A30" s="64" t="s">
        <v>12</v>
      </c>
      <c r="C30" s="83">
        <v>3311</v>
      </c>
      <c r="D30" s="83">
        <v>3713</v>
      </c>
      <c r="E30" s="83">
        <v>4290</v>
      </c>
      <c r="F30" s="84">
        <v>4483</v>
      </c>
      <c r="G30" s="67">
        <f>F30*(1+G33)</f>
        <v>4676.6238004662</v>
      </c>
      <c r="H30" s="67">
        <f t="shared" ref="H30:K30" si="12">G30*(1+H33)</f>
        <v>4851.4968269407</v>
      </c>
      <c r="I30" s="67">
        <f t="shared" si="12"/>
        <v>5004.7815089712003</v>
      </c>
      <c r="J30" s="67">
        <f t="shared" si="12"/>
        <v>5133.8932057452903</v>
      </c>
      <c r="K30" s="250">
        <f t="shared" si="12"/>
        <v>5236.5710698601997</v>
      </c>
    </row>
    <row r="31" spans="1:11">
      <c r="A31" s="35" t="s">
        <v>5</v>
      </c>
      <c r="C31" s="79"/>
      <c r="D31" s="69">
        <v>0.12</v>
      </c>
      <c r="E31" s="69">
        <v>0.155</v>
      </c>
      <c r="F31" s="75">
        <f>F30/E30-1</f>
        <v>4.4988344988345003E-2</v>
      </c>
      <c r="G31" s="77"/>
      <c r="H31" s="77"/>
      <c r="I31" s="77"/>
      <c r="J31" s="77"/>
      <c r="K31" s="252"/>
    </row>
    <row r="32" spans="1:11">
      <c r="A32" s="35" t="s">
        <v>6</v>
      </c>
      <c r="C32" s="79"/>
      <c r="D32" s="72">
        <f>3.5%-2.5%</f>
        <v>0.01</v>
      </c>
      <c r="E32" s="72">
        <f>0.5%-5.4%</f>
        <v>-4.9000000000000002E-2</v>
      </c>
      <c r="F32" s="73">
        <v>4.0000000000000001E-3</v>
      </c>
      <c r="G32" s="77"/>
      <c r="H32" s="77"/>
      <c r="I32" s="77"/>
      <c r="J32" s="77"/>
      <c r="K32" s="252"/>
    </row>
    <row r="33" spans="1:11">
      <c r="A33" s="35" t="s">
        <v>7</v>
      </c>
      <c r="C33" s="68"/>
      <c r="D33" s="69">
        <f>D31+D32</f>
        <v>0.13</v>
      </c>
      <c r="E33" s="69">
        <f>E31+E32</f>
        <v>0.106</v>
      </c>
      <c r="F33" s="75">
        <f>F31+F32</f>
        <v>4.8988344988344999E-2</v>
      </c>
      <c r="G33" s="80">
        <f>F33+($K$33-$F$33)/5</f>
        <v>4.3190675990675997E-2</v>
      </c>
      <c r="H33" s="80">
        <f t="shared" ref="H33:J33" si="13">G33+($K$33-$F$33)/5</f>
        <v>3.7393006993007002E-2</v>
      </c>
      <c r="I33" s="80">
        <f t="shared" si="13"/>
        <v>3.1595337995338001E-2</v>
      </c>
      <c r="J33" s="80">
        <f t="shared" si="13"/>
        <v>2.5797668997668999E-2</v>
      </c>
      <c r="K33" s="256">
        <v>0.02</v>
      </c>
    </row>
    <row r="34" spans="1:11">
      <c r="A34" s="35"/>
      <c r="C34" s="68"/>
      <c r="D34" s="69"/>
      <c r="E34" s="69"/>
      <c r="F34" s="75"/>
      <c r="G34" s="80"/>
      <c r="H34" s="80"/>
      <c r="I34" s="80"/>
      <c r="J34" s="80"/>
      <c r="K34" s="256"/>
    </row>
    <row r="35" spans="1:11" ht="15.75">
      <c r="A35" s="85" t="s">
        <v>13</v>
      </c>
      <c r="B35" s="12"/>
      <c r="C35" s="86">
        <f>SUM(C30,C25,C20,C15,C10,C5)</f>
        <v>17421</v>
      </c>
      <c r="D35" s="86">
        <f>SUM(D30,D25,D20,D15,D10,D5)</f>
        <v>17967</v>
      </c>
      <c r="E35" s="86">
        <f>SUM(E30,E25,E20,E15,E10,E5)</f>
        <v>19457</v>
      </c>
      <c r="F35" s="87">
        <f>SUM(F30,F25,F20,F15,F10,F5)</f>
        <v>20101</v>
      </c>
      <c r="G35" s="86">
        <f t="shared" ref="G35:K35" si="14">SUM(G30,G25,G20,G15,G10,G5)</f>
        <v>21551.206851555798</v>
      </c>
      <c r="H35" s="86">
        <f t="shared" si="14"/>
        <v>23204.351946393999</v>
      </c>
      <c r="I35" s="86">
        <f t="shared" si="14"/>
        <v>25091.145651299699</v>
      </c>
      <c r="J35" s="86">
        <f t="shared" si="14"/>
        <v>27249.4376573751</v>
      </c>
      <c r="K35" s="87">
        <f t="shared" si="14"/>
        <v>29735.810696833301</v>
      </c>
    </row>
    <row r="39" spans="1:11" s="179" customFormat="1"/>
  </sheetData>
  <mergeCells count="3">
    <mergeCell ref="C2:F2"/>
    <mergeCell ref="G2:K2"/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Q81"/>
  <sheetViews>
    <sheetView showGridLines="0" topLeftCell="A69" workbookViewId="0">
      <selection activeCell="A85" sqref="A85"/>
    </sheetView>
  </sheetViews>
  <sheetFormatPr defaultColWidth="9" defaultRowHeight="15"/>
  <cols>
    <col min="1" max="1" width="54.5703125" customWidth="1"/>
    <col min="2" max="2" width="12.140625" customWidth="1"/>
    <col min="3" max="3" width="11.28515625" customWidth="1"/>
    <col min="4" max="4" width="11" customWidth="1"/>
    <col min="5" max="5" width="11.42578125" customWidth="1"/>
    <col min="6" max="6" width="11.85546875" customWidth="1"/>
    <col min="7" max="7" width="11" customWidth="1"/>
    <col min="8" max="8" width="11.28515625" customWidth="1"/>
    <col min="9" max="9" width="10.7109375" customWidth="1"/>
    <col min="10" max="10" width="11.28515625" customWidth="1"/>
    <col min="11" max="11" width="10.85546875" customWidth="1"/>
    <col min="13" max="13" width="9.5703125" bestFit="1" customWidth="1"/>
  </cols>
  <sheetData>
    <row r="3" spans="1:11">
      <c r="A3" s="308" t="s">
        <v>0</v>
      </c>
      <c r="B3" s="1"/>
      <c r="C3" s="303" t="s">
        <v>1</v>
      </c>
      <c r="D3" s="304"/>
      <c r="E3" s="304"/>
      <c r="F3" s="304"/>
      <c r="G3" s="305" t="s">
        <v>2</v>
      </c>
      <c r="H3" s="306"/>
      <c r="I3" s="306"/>
      <c r="J3" s="306"/>
      <c r="K3" s="307"/>
    </row>
    <row r="4" spans="1:11" ht="15.75" thickBot="1">
      <c r="A4" s="308"/>
      <c r="B4" s="1" t="s">
        <v>3</v>
      </c>
      <c r="C4" s="2">
        <v>2021</v>
      </c>
      <c r="D4" s="3">
        <f>C4+1</f>
        <v>2022</v>
      </c>
      <c r="E4" s="3">
        <f t="shared" ref="E4:H4" si="0">D4+1</f>
        <v>2023</v>
      </c>
      <c r="F4" s="4">
        <f t="shared" si="0"/>
        <v>2024</v>
      </c>
      <c r="G4" s="5">
        <f t="shared" si="0"/>
        <v>2025</v>
      </c>
      <c r="H4" s="5">
        <f t="shared" si="0"/>
        <v>2026</v>
      </c>
      <c r="I4" s="5">
        <f t="shared" ref="I4:K4" si="1">H4+1</f>
        <v>2027</v>
      </c>
      <c r="J4" s="5">
        <f t="shared" si="1"/>
        <v>2028</v>
      </c>
      <c r="K4" s="17">
        <f t="shared" si="1"/>
        <v>2029</v>
      </c>
    </row>
    <row r="5" spans="1:11">
      <c r="A5" s="21"/>
      <c r="B5" s="21"/>
      <c r="C5" s="22"/>
      <c r="D5" s="23"/>
      <c r="E5" s="23"/>
      <c r="F5" s="24"/>
      <c r="G5" s="23"/>
      <c r="H5" s="23"/>
      <c r="I5" s="23"/>
      <c r="J5" s="23"/>
      <c r="K5" s="24"/>
    </row>
    <row r="6" spans="1:11">
      <c r="A6" t="s">
        <v>14</v>
      </c>
      <c r="C6" s="40">
        <f>Revenue!C35</f>
        <v>17421</v>
      </c>
      <c r="D6" s="40">
        <f>Revenue!D35</f>
        <v>17967</v>
      </c>
      <c r="E6" s="40">
        <f>Revenue!E35</f>
        <v>19457</v>
      </c>
      <c r="F6" s="41">
        <f>Revenue!F35</f>
        <v>20101</v>
      </c>
      <c r="G6" s="42">
        <f>Revenue!G35</f>
        <v>21551.206851555798</v>
      </c>
      <c r="H6" s="42">
        <f>Revenue!H35</f>
        <v>23204.351946393999</v>
      </c>
      <c r="I6" s="42">
        <f>Revenue!I35</f>
        <v>25091.145651299699</v>
      </c>
      <c r="J6" s="42">
        <f>Revenue!J35</f>
        <v>27249.4376573751</v>
      </c>
      <c r="K6" s="257">
        <f>Revenue!K35</f>
        <v>29735.810696833301</v>
      </c>
    </row>
    <row r="7" spans="1:11">
      <c r="A7" s="35" t="s">
        <v>15</v>
      </c>
      <c r="C7" s="40">
        <v>0</v>
      </c>
      <c r="D7" s="40">
        <v>0</v>
      </c>
      <c r="E7" s="40">
        <v>0</v>
      </c>
      <c r="F7" s="41">
        <v>0</v>
      </c>
      <c r="G7" s="42">
        <v>0</v>
      </c>
      <c r="H7" s="42">
        <v>0</v>
      </c>
      <c r="I7" s="42">
        <v>0</v>
      </c>
      <c r="J7" s="42">
        <v>0</v>
      </c>
      <c r="K7" s="257">
        <v>0</v>
      </c>
    </row>
    <row r="8" spans="1:11">
      <c r="A8" t="s">
        <v>16</v>
      </c>
      <c r="C8" s="43">
        <f>C6-C7</f>
        <v>17421</v>
      </c>
      <c r="D8" s="43">
        <f t="shared" ref="D8:F8" si="2">D6-D7</f>
        <v>17967</v>
      </c>
      <c r="E8" s="43">
        <f t="shared" si="2"/>
        <v>19457</v>
      </c>
      <c r="F8" s="44">
        <f t="shared" si="2"/>
        <v>20101</v>
      </c>
      <c r="G8" s="43">
        <f>G6-G7</f>
        <v>21551.206851555798</v>
      </c>
      <c r="H8" s="43">
        <f t="shared" ref="H8:K8" si="3">H6-H7</f>
        <v>23204.351946393999</v>
      </c>
      <c r="I8" s="43">
        <f t="shared" si="3"/>
        <v>25091.145651299699</v>
      </c>
      <c r="J8" s="43">
        <f t="shared" si="3"/>
        <v>27249.4376573751</v>
      </c>
      <c r="K8" s="44">
        <f t="shared" si="3"/>
        <v>29735.810696833301</v>
      </c>
    </row>
    <row r="9" spans="1:11">
      <c r="A9" t="s">
        <v>17</v>
      </c>
      <c r="C9" s="45">
        <v>7046</v>
      </c>
      <c r="D9" s="45">
        <v>7719</v>
      </c>
      <c r="E9" s="45">
        <v>8131</v>
      </c>
      <c r="F9" s="46">
        <v>7940</v>
      </c>
      <c r="G9" s="47"/>
      <c r="H9" s="47"/>
      <c r="I9" s="47"/>
      <c r="J9" s="47"/>
      <c r="K9" s="55"/>
    </row>
    <row r="10" spans="1:11">
      <c r="A10" s="35" t="s">
        <v>15</v>
      </c>
      <c r="C10" s="45">
        <v>0</v>
      </c>
      <c r="D10" s="45">
        <v>0</v>
      </c>
      <c r="E10" s="45">
        <v>0</v>
      </c>
      <c r="F10" s="46">
        <v>0</v>
      </c>
      <c r="G10" s="47"/>
      <c r="H10" s="47"/>
      <c r="I10" s="47"/>
      <c r="J10" s="47"/>
      <c r="K10" s="55"/>
    </row>
    <row r="11" spans="1:11">
      <c r="A11" t="s">
        <v>18</v>
      </c>
      <c r="C11" s="43">
        <f>C9-C10</f>
        <v>7046</v>
      </c>
      <c r="D11" s="43">
        <f t="shared" ref="D11:F11" si="4">D9-D10</f>
        <v>7719</v>
      </c>
      <c r="E11" s="43">
        <f t="shared" si="4"/>
        <v>8131</v>
      </c>
      <c r="F11" s="44">
        <f t="shared" si="4"/>
        <v>7940</v>
      </c>
      <c r="G11" s="47">
        <f>G8-G14</f>
        <v>8918.433186675009</v>
      </c>
      <c r="H11" s="47">
        <f t="shared" ref="H11:K11" si="5">H8-H14</f>
        <v>9602.5463399543878</v>
      </c>
      <c r="I11" s="47">
        <f t="shared" si="5"/>
        <v>10383.349183625563</v>
      </c>
      <c r="J11" s="47">
        <f t="shared" si="5"/>
        <v>11276.504874910141</v>
      </c>
      <c r="K11" s="55">
        <f t="shared" si="5"/>
        <v>12305.428776123463</v>
      </c>
    </row>
    <row r="12" spans="1:11">
      <c r="A12" t="s">
        <v>19</v>
      </c>
      <c r="C12" s="48">
        <f>C6-C9</f>
        <v>10375</v>
      </c>
      <c r="D12" s="48">
        <f>D6-D9</f>
        <v>10248</v>
      </c>
      <c r="E12" s="48">
        <f>E6-E9</f>
        <v>11326</v>
      </c>
      <c r="F12" s="34">
        <f>F6-F9</f>
        <v>12161</v>
      </c>
      <c r="G12" s="47"/>
      <c r="H12" s="47"/>
      <c r="I12" s="47"/>
      <c r="J12" s="47"/>
      <c r="K12" s="55"/>
    </row>
    <row r="13" spans="1:11">
      <c r="A13" s="35" t="s">
        <v>15</v>
      </c>
      <c r="C13" s="49">
        <v>0</v>
      </c>
      <c r="D13" s="49">
        <v>0</v>
      </c>
      <c r="E13" s="45">
        <v>1</v>
      </c>
      <c r="F13" s="46">
        <v>20</v>
      </c>
      <c r="G13" s="47"/>
      <c r="H13" s="47"/>
      <c r="I13" s="47"/>
      <c r="J13" s="47"/>
      <c r="K13" s="55"/>
    </row>
    <row r="14" spans="1:11">
      <c r="A14" s="50" t="s">
        <v>20</v>
      </c>
      <c r="B14" s="51"/>
      <c r="C14" s="52">
        <f>C12+C13</f>
        <v>10375</v>
      </c>
      <c r="D14" s="52">
        <f>D12+D13</f>
        <v>10248</v>
      </c>
      <c r="E14" s="52">
        <f>E12+E13</f>
        <v>11327</v>
      </c>
      <c r="F14" s="53">
        <f>F12+F13</f>
        <v>12181</v>
      </c>
      <c r="G14" s="54">
        <f>G8*G70</f>
        <v>12632.77366488079</v>
      </c>
      <c r="H14" s="54">
        <f t="shared" ref="H14:K14" si="6">H8*H70</f>
        <v>13601.805606439611</v>
      </c>
      <c r="I14" s="54">
        <f t="shared" si="6"/>
        <v>14707.796467674136</v>
      </c>
      <c r="J14" s="54">
        <f t="shared" si="6"/>
        <v>15972.932782464959</v>
      </c>
      <c r="K14" s="258">
        <f t="shared" si="6"/>
        <v>17430.381920709839</v>
      </c>
    </row>
    <row r="15" spans="1:11">
      <c r="A15" s="6"/>
      <c r="C15" s="48"/>
      <c r="D15" s="48"/>
      <c r="E15" s="48"/>
      <c r="F15" s="34"/>
      <c r="G15" s="47"/>
      <c r="H15" s="47"/>
      <c r="I15" s="47"/>
      <c r="J15" s="47"/>
      <c r="K15" s="55"/>
    </row>
    <row r="16" spans="1:11">
      <c r="A16" t="s">
        <v>21</v>
      </c>
      <c r="C16" s="45">
        <v>6407</v>
      </c>
      <c r="D16" s="45">
        <v>6565</v>
      </c>
      <c r="E16" s="45">
        <v>7151</v>
      </c>
      <c r="F16" s="46">
        <v>7729</v>
      </c>
      <c r="G16" s="47"/>
      <c r="H16" s="47"/>
      <c r="I16" s="47"/>
      <c r="J16" s="47"/>
      <c r="K16" s="55"/>
    </row>
    <row r="17" spans="1:11">
      <c r="A17" s="35" t="s">
        <v>15</v>
      </c>
      <c r="C17" s="45">
        <v>0</v>
      </c>
      <c r="D17" s="45">
        <v>-5</v>
      </c>
      <c r="E17" s="45">
        <v>-2</v>
      </c>
      <c r="F17" s="46">
        <v>-6</v>
      </c>
      <c r="G17" s="47"/>
      <c r="H17" s="47"/>
      <c r="I17" s="47"/>
      <c r="J17" s="47"/>
      <c r="K17" s="55"/>
    </row>
    <row r="18" spans="1:11">
      <c r="A18" t="s">
        <v>22</v>
      </c>
      <c r="C18" s="47">
        <f>C16+C17</f>
        <v>6407</v>
      </c>
      <c r="D18" s="47">
        <f>D16+D17</f>
        <v>6560</v>
      </c>
      <c r="E18" s="47">
        <f>E16+E17</f>
        <v>7149</v>
      </c>
      <c r="F18" s="55">
        <f>F16+F17</f>
        <v>7723</v>
      </c>
      <c r="G18" s="47">
        <f>(G8*G71)</f>
        <v>8022.4307576058791</v>
      </c>
      <c r="H18" s="47">
        <f t="shared" ref="H18:K18" si="7">(H8*H71)</f>
        <v>8637.8135594584746</v>
      </c>
      <c r="I18" s="47">
        <f t="shared" si="7"/>
        <v>9340.1719914364912</v>
      </c>
      <c r="J18" s="47">
        <f t="shared" si="7"/>
        <v>10143.595590527613</v>
      </c>
      <c r="K18" s="55">
        <f t="shared" si="7"/>
        <v>11069.147263063833</v>
      </c>
    </row>
    <row r="19" spans="1:11">
      <c r="A19" t="s">
        <v>106</v>
      </c>
      <c r="C19" s="47"/>
      <c r="D19" s="47"/>
      <c r="E19" s="47"/>
      <c r="F19" s="55"/>
      <c r="G19" s="47">
        <f>Capex!G13</f>
        <v>608.19946895024066</v>
      </c>
      <c r="H19" s="47">
        <f>Capex!H13</f>
        <v>622.28737364964309</v>
      </c>
      <c r="I19" s="47">
        <f>Capex!I13</f>
        <v>640.44046486312811</v>
      </c>
      <c r="J19" s="47">
        <f>Capex!J13</f>
        <v>662.96098567239312</v>
      </c>
      <c r="K19" s="55">
        <f>Capex!K13</f>
        <v>690.49351908054314</v>
      </c>
    </row>
    <row r="20" spans="1:11">
      <c r="A20" t="s">
        <v>23</v>
      </c>
      <c r="C20" s="45">
        <v>65</v>
      </c>
      <c r="D20" s="45">
        <v>69</v>
      </c>
      <c r="E20" s="45">
        <v>191</v>
      </c>
      <c r="F20" s="46">
        <v>164</v>
      </c>
      <c r="G20" s="47"/>
      <c r="H20" s="47"/>
      <c r="I20" s="47"/>
      <c r="J20" s="47"/>
      <c r="K20" s="55"/>
    </row>
    <row r="21" spans="1:11">
      <c r="A21" s="35" t="s">
        <v>15</v>
      </c>
      <c r="C21" s="45">
        <v>26</v>
      </c>
      <c r="D21" s="47">
        <f>-90-19+47</f>
        <v>-62</v>
      </c>
      <c r="E21" s="47">
        <f>(-24)+(-25)</f>
        <v>-49</v>
      </c>
      <c r="F21" s="46">
        <v>-59</v>
      </c>
      <c r="G21" s="47"/>
      <c r="H21" s="37"/>
      <c r="I21" s="47"/>
      <c r="J21" s="47"/>
      <c r="K21" s="55"/>
    </row>
    <row r="22" spans="1:11">
      <c r="A22" t="s">
        <v>24</v>
      </c>
      <c r="C22" s="47">
        <f>C20+C21</f>
        <v>91</v>
      </c>
      <c r="D22" s="47">
        <f>D20+D21</f>
        <v>7</v>
      </c>
      <c r="E22" s="47">
        <f>E20+E21</f>
        <v>142</v>
      </c>
      <c r="F22" s="55">
        <f>F20+F21</f>
        <v>105</v>
      </c>
      <c r="G22" s="47">
        <f>G8*G72</f>
        <v>134.92957751604024</v>
      </c>
      <c r="H22" s="47">
        <f t="shared" ref="H22:K22" si="8">H8*H72</f>
        <v>145.27972499296121</v>
      </c>
      <c r="I22" s="47">
        <f t="shared" si="8"/>
        <v>157.09271900375703</v>
      </c>
      <c r="J22" s="47">
        <f t="shared" si="8"/>
        <v>170.60553202355214</v>
      </c>
      <c r="K22" s="55">
        <f t="shared" si="8"/>
        <v>186.17242189993738</v>
      </c>
    </row>
    <row r="23" spans="1:11">
      <c r="A23" t="s">
        <v>25</v>
      </c>
      <c r="C23" s="45">
        <v>571</v>
      </c>
      <c r="D23" s="45">
        <v>721</v>
      </c>
      <c r="E23" s="45">
        <v>0</v>
      </c>
      <c r="F23" s="46">
        <v>0</v>
      </c>
      <c r="G23" s="47">
        <v>0</v>
      </c>
      <c r="H23" s="47">
        <v>0</v>
      </c>
      <c r="I23" s="47">
        <v>0</v>
      </c>
      <c r="J23" s="47">
        <v>0</v>
      </c>
      <c r="K23" s="55">
        <v>0</v>
      </c>
    </row>
    <row r="24" spans="1:11">
      <c r="A24" t="s">
        <v>26</v>
      </c>
      <c r="C24" s="48">
        <f>C12-(C16+C20+C23)</f>
        <v>3332</v>
      </c>
      <c r="D24" s="48">
        <f>D12-(D16+D20+D23)</f>
        <v>2893</v>
      </c>
      <c r="E24" s="48">
        <f>E12-(E16+E20)</f>
        <v>3984</v>
      </c>
      <c r="F24" s="34">
        <f>F12-(F16+F20)</f>
        <v>4268</v>
      </c>
      <c r="G24" s="47"/>
      <c r="H24" s="47"/>
      <c r="I24" s="47"/>
      <c r="J24" s="47"/>
      <c r="K24" s="55"/>
    </row>
    <row r="25" spans="1:11">
      <c r="A25" s="35" t="s">
        <v>15</v>
      </c>
      <c r="C25" s="49">
        <v>-26</v>
      </c>
      <c r="D25" s="47">
        <f>95+721-47+19</f>
        <v>788</v>
      </c>
      <c r="E25" s="45">
        <v>27</v>
      </c>
      <c r="F25" s="46">
        <v>85</v>
      </c>
      <c r="G25" s="47"/>
      <c r="H25" s="47"/>
      <c r="I25" s="47"/>
      <c r="J25" s="47"/>
      <c r="K25" s="55"/>
    </row>
    <row r="26" spans="1:11">
      <c r="A26" s="50" t="s">
        <v>27</v>
      </c>
      <c r="B26" s="51"/>
      <c r="C26" s="52">
        <f>C24+C25</f>
        <v>3306</v>
      </c>
      <c r="D26" s="52">
        <f>D24+D25</f>
        <v>3681</v>
      </c>
      <c r="E26" s="52">
        <f>E24+E25</f>
        <v>4011</v>
      </c>
      <c r="F26" s="53">
        <f>F24+F25</f>
        <v>4353</v>
      </c>
      <c r="G26" s="54">
        <f>G14-SUM(G18,G19,G22)</f>
        <v>3867.2138608086298</v>
      </c>
      <c r="H26" s="54">
        <f t="shared" ref="H26:K26" si="9">H14-SUM(H18,H19,H22)</f>
        <v>4196.424948338532</v>
      </c>
      <c r="I26" s="54">
        <f t="shared" si="9"/>
        <v>4570.0912923707601</v>
      </c>
      <c r="J26" s="54">
        <f t="shared" si="9"/>
        <v>4995.7706742414011</v>
      </c>
      <c r="K26" s="258">
        <f t="shared" si="9"/>
        <v>5484.5687166655262</v>
      </c>
    </row>
    <row r="27" spans="1:11">
      <c r="C27" s="48"/>
      <c r="D27" s="48"/>
      <c r="E27" s="48"/>
      <c r="F27" s="34"/>
      <c r="G27" s="47"/>
      <c r="H27" s="47"/>
      <c r="I27" s="47"/>
      <c r="J27" s="47"/>
      <c r="K27" s="55"/>
    </row>
    <row r="28" spans="1:11">
      <c r="A28" t="s">
        <v>28</v>
      </c>
      <c r="C28" s="45">
        <v>70</v>
      </c>
      <c r="D28" s="45">
        <v>80</v>
      </c>
      <c r="E28" s="45">
        <v>360</v>
      </c>
      <c r="F28" s="46">
        <v>87</v>
      </c>
      <c r="G28" s="47"/>
      <c r="H28" s="47"/>
      <c r="I28" s="47"/>
      <c r="J28" s="47"/>
      <c r="K28" s="55"/>
    </row>
    <row r="29" spans="1:11">
      <c r="A29" s="35" t="s">
        <v>15</v>
      </c>
      <c r="C29" s="45">
        <v>0</v>
      </c>
      <c r="D29" s="45">
        <v>-15</v>
      </c>
      <c r="E29" s="47">
        <f>-267-5</f>
        <v>-272</v>
      </c>
      <c r="F29" s="55">
        <v>0</v>
      </c>
      <c r="G29" s="47"/>
      <c r="H29" s="47"/>
      <c r="I29" s="47"/>
      <c r="J29" s="47"/>
      <c r="K29" s="55"/>
    </row>
    <row r="30" spans="1:11">
      <c r="A30" t="s">
        <v>29</v>
      </c>
      <c r="C30" s="47">
        <f>C28+C29</f>
        <v>70</v>
      </c>
      <c r="D30" s="47">
        <f>D28+D29</f>
        <v>65</v>
      </c>
      <c r="E30" s="47">
        <f>E28+E29</f>
        <v>88</v>
      </c>
      <c r="F30" s="55">
        <f>F28+F29</f>
        <v>87</v>
      </c>
      <c r="G30" s="122">
        <f>F30</f>
        <v>87</v>
      </c>
      <c r="H30" s="122">
        <f t="shared" ref="H30:K30" si="10">G30</f>
        <v>87</v>
      </c>
      <c r="I30" s="122">
        <f t="shared" si="10"/>
        <v>87</v>
      </c>
      <c r="J30" s="122">
        <f t="shared" si="10"/>
        <v>87</v>
      </c>
      <c r="K30" s="259">
        <f t="shared" si="10"/>
        <v>87</v>
      </c>
    </row>
    <row r="31" spans="1:11">
      <c r="C31" s="47"/>
      <c r="D31" s="47"/>
      <c r="E31" s="47"/>
      <c r="F31" s="55"/>
      <c r="G31" s="47"/>
      <c r="H31" s="47"/>
      <c r="I31" s="47"/>
      <c r="J31" s="47"/>
      <c r="K31" s="55"/>
    </row>
    <row r="32" spans="1:11">
      <c r="A32" t="s">
        <v>30</v>
      </c>
      <c r="C32" s="45">
        <v>175</v>
      </c>
      <c r="D32" s="45">
        <f>167-14</f>
        <v>153</v>
      </c>
      <c r="E32" s="45">
        <f>287-55</f>
        <v>232</v>
      </c>
      <c r="F32" s="46">
        <f>292-67</f>
        <v>225</v>
      </c>
      <c r="G32" s="260">
        <f>Debt!C12+Debt!C24</f>
        <v>223.33608943205877</v>
      </c>
      <c r="H32" s="260">
        <f>Debt!D12+Debt!D24</f>
        <v>210.26901462922544</v>
      </c>
      <c r="I32" s="260">
        <f>Debt!E12+Debt!E24</f>
        <v>214.56880864790622</v>
      </c>
      <c r="J32" s="260">
        <f>Debt!F12+Debt!F24</f>
        <v>219.17593108867032</v>
      </c>
      <c r="K32" s="261">
        <f>Debt!G12+Debt!G24</f>
        <v>224.07330883440542</v>
      </c>
    </row>
    <row r="33" spans="1:17">
      <c r="A33" s="35" t="s">
        <v>15</v>
      </c>
      <c r="C33" s="45">
        <v>-75</v>
      </c>
      <c r="D33" s="47">
        <v>0</v>
      </c>
      <c r="E33" s="47">
        <v>0</v>
      </c>
      <c r="F33" s="55">
        <v>0</v>
      </c>
      <c r="G33" s="47">
        <v>0</v>
      </c>
      <c r="H33" s="47">
        <v>0</v>
      </c>
      <c r="I33" s="47">
        <v>0</v>
      </c>
      <c r="J33" s="47">
        <v>0</v>
      </c>
      <c r="K33" s="55">
        <v>0</v>
      </c>
    </row>
    <row r="34" spans="1:17">
      <c r="A34" t="s">
        <v>31</v>
      </c>
      <c r="C34" s="47">
        <f>C32+C33</f>
        <v>100</v>
      </c>
      <c r="D34" s="47">
        <f t="shared" ref="D34:F34" si="11">D32+D33</f>
        <v>153</v>
      </c>
      <c r="E34" s="47">
        <f t="shared" si="11"/>
        <v>232</v>
      </c>
      <c r="F34" s="55">
        <f t="shared" si="11"/>
        <v>225</v>
      </c>
      <c r="G34" s="47">
        <f>G32+G33</f>
        <v>223.33608943205877</v>
      </c>
      <c r="H34" s="47">
        <f t="shared" ref="H34:K34" si="12">H32+H33</f>
        <v>210.26901462922544</v>
      </c>
      <c r="I34" s="47">
        <f t="shared" si="12"/>
        <v>214.56880864790622</v>
      </c>
      <c r="J34" s="47">
        <f t="shared" si="12"/>
        <v>219.17593108867032</v>
      </c>
      <c r="K34" s="55">
        <f t="shared" si="12"/>
        <v>224.07330883440542</v>
      </c>
    </row>
    <row r="35" spans="1:17">
      <c r="C35" s="47"/>
      <c r="D35" s="45"/>
      <c r="E35" s="45"/>
      <c r="F35" s="46"/>
      <c r="G35" s="47"/>
      <c r="H35" s="47"/>
      <c r="I35" s="47"/>
      <c r="J35" s="47"/>
      <c r="K35" s="55"/>
    </row>
    <row r="36" spans="1:17">
      <c r="C36" s="47"/>
      <c r="D36" s="47"/>
      <c r="E36" s="47"/>
      <c r="F36" s="55"/>
      <c r="G36" s="47"/>
      <c r="H36" s="47"/>
      <c r="I36" s="47"/>
      <c r="J36" s="47"/>
      <c r="K36" s="55"/>
    </row>
    <row r="37" spans="1:17">
      <c r="A37" t="s">
        <v>32</v>
      </c>
      <c r="C37" s="48">
        <f>C24-(C28+C32)</f>
        <v>3087</v>
      </c>
      <c r="D37" s="48">
        <f>D24-(D28+D32)</f>
        <v>2660</v>
      </c>
      <c r="E37" s="48">
        <f>E24-(E28+E32)</f>
        <v>3392</v>
      </c>
      <c r="F37" s="34">
        <f>F24-(F28+F32)</f>
        <v>3956</v>
      </c>
      <c r="G37" s="47"/>
      <c r="H37" s="47"/>
      <c r="I37" s="47"/>
      <c r="J37" s="47"/>
      <c r="K37" s="55"/>
    </row>
    <row r="38" spans="1:17">
      <c r="A38" s="35" t="s">
        <v>15</v>
      </c>
      <c r="C38" s="47">
        <f>571+75-26</f>
        <v>620</v>
      </c>
      <c r="D38" s="47">
        <f>721+110-47+19</f>
        <v>803</v>
      </c>
      <c r="E38" s="47">
        <f>267+32+25</f>
        <v>324</v>
      </c>
      <c r="F38" s="46">
        <v>85</v>
      </c>
      <c r="G38" s="47"/>
      <c r="H38" s="47"/>
      <c r="I38" s="47"/>
      <c r="J38" s="47"/>
      <c r="K38" s="55"/>
    </row>
    <row r="39" spans="1:17">
      <c r="A39" s="50" t="s">
        <v>33</v>
      </c>
      <c r="B39" s="51"/>
      <c r="C39" s="52">
        <f>C37+C38</f>
        <v>3707</v>
      </c>
      <c r="D39" s="52">
        <f>D37+D38</f>
        <v>3463</v>
      </c>
      <c r="E39" s="52">
        <f>E37+E38</f>
        <v>3716</v>
      </c>
      <c r="F39" s="53">
        <f>F37+F38</f>
        <v>4041</v>
      </c>
      <c r="G39" s="54">
        <f>G26-(G30+G34)</f>
        <v>3556.8777713765712</v>
      </c>
      <c r="H39" s="54">
        <f t="shared" ref="H39:K39" si="13">H26-(H30+H34)</f>
        <v>3899.1559337093067</v>
      </c>
      <c r="I39" s="54">
        <f t="shared" si="13"/>
        <v>4268.5224837228543</v>
      </c>
      <c r="J39" s="54">
        <f t="shared" si="13"/>
        <v>4689.5947431527311</v>
      </c>
      <c r="K39" s="258">
        <f t="shared" si="13"/>
        <v>5173.4954078311202</v>
      </c>
    </row>
    <row r="40" spans="1:17">
      <c r="C40" s="47"/>
      <c r="D40" s="48"/>
      <c r="E40" s="48"/>
      <c r="F40" s="34"/>
      <c r="G40" s="47"/>
      <c r="H40" s="47"/>
      <c r="I40" s="47"/>
      <c r="J40" s="47"/>
      <c r="K40" s="55"/>
    </row>
    <row r="41" spans="1:17">
      <c r="A41" t="s">
        <v>34</v>
      </c>
      <c r="C41" s="45">
        <v>749</v>
      </c>
      <c r="D41" s="45">
        <v>693</v>
      </c>
      <c r="E41" s="45">
        <v>937</v>
      </c>
      <c r="F41" s="46">
        <v>907</v>
      </c>
      <c r="G41" s="47"/>
      <c r="H41" s="47"/>
      <c r="I41" s="47"/>
      <c r="J41" s="47"/>
      <c r="K41" s="55"/>
    </row>
    <row r="42" spans="1:17">
      <c r="A42" s="35" t="s">
        <v>15</v>
      </c>
      <c r="C42" s="47">
        <f>53+20-6</f>
        <v>67</v>
      </c>
      <c r="D42" s="47">
        <f>101+22-11+3</f>
        <v>115</v>
      </c>
      <c r="E42" s="47">
        <f>(55+6+6)-126</f>
        <v>-59</v>
      </c>
      <c r="F42" s="46">
        <v>12</v>
      </c>
      <c r="G42" s="47"/>
      <c r="H42" s="47"/>
      <c r="I42" s="47"/>
      <c r="J42" s="47"/>
      <c r="K42" s="55"/>
    </row>
    <row r="43" spans="1:17">
      <c r="A43" t="s">
        <v>35</v>
      </c>
      <c r="C43" s="47">
        <f>C41+C42</f>
        <v>816</v>
      </c>
      <c r="D43" s="47">
        <f>D41+D42</f>
        <v>808</v>
      </c>
      <c r="E43" s="47">
        <f>E41+E42</f>
        <v>878</v>
      </c>
      <c r="F43" s="55">
        <f>F41+F42</f>
        <v>919</v>
      </c>
      <c r="G43" s="47">
        <f>G39*G73</f>
        <v>826.40288117871967</v>
      </c>
      <c r="H43" s="47">
        <f t="shared" ref="H43:K43" si="14">H39*H73</f>
        <v>905.92758731076606</v>
      </c>
      <c r="I43" s="47">
        <f t="shared" si="14"/>
        <v>991.74599344174317</v>
      </c>
      <c r="J43" s="47">
        <f t="shared" si="14"/>
        <v>1089.5776735679374</v>
      </c>
      <c r="K43" s="55">
        <f t="shared" si="14"/>
        <v>1202.0068682714011</v>
      </c>
    </row>
    <row r="44" spans="1:17">
      <c r="C44" s="47"/>
      <c r="D44" s="47"/>
      <c r="E44" s="47"/>
      <c r="F44" s="55"/>
      <c r="G44" s="47"/>
      <c r="H44" s="47"/>
      <c r="I44" s="47"/>
      <c r="J44" s="47"/>
      <c r="K44" s="55"/>
    </row>
    <row r="45" spans="1:17">
      <c r="A45" t="s">
        <v>36</v>
      </c>
      <c r="C45" s="47">
        <f>C37-C41</f>
        <v>2338</v>
      </c>
      <c r="D45" s="47">
        <f>D37-D41</f>
        <v>1967</v>
      </c>
      <c r="E45" s="47">
        <f>E37-E41</f>
        <v>2455</v>
      </c>
      <c r="F45" s="55">
        <f>F37-F41</f>
        <v>3049</v>
      </c>
      <c r="G45" s="47"/>
      <c r="H45" s="47"/>
      <c r="I45" s="47"/>
      <c r="J45" s="47"/>
      <c r="K45" s="55"/>
    </row>
    <row r="46" spans="1:17">
      <c r="A46" s="35" t="s">
        <v>15</v>
      </c>
      <c r="C46" s="47">
        <f>518+55-20</f>
        <v>553</v>
      </c>
      <c r="D46" s="47">
        <f>620+88-36+16</f>
        <v>688</v>
      </c>
      <c r="E46" s="47">
        <f>212+126+26+19</f>
        <v>383</v>
      </c>
      <c r="F46" s="46">
        <v>73</v>
      </c>
      <c r="G46" s="47"/>
      <c r="H46" s="47"/>
      <c r="I46" s="47"/>
      <c r="J46" s="47"/>
      <c r="K46" s="55"/>
    </row>
    <row r="47" spans="1:17">
      <c r="A47" t="s">
        <v>37</v>
      </c>
      <c r="C47" s="47">
        <f>C45+C46</f>
        <v>2891</v>
      </c>
      <c r="D47" s="47">
        <f>D45+D46</f>
        <v>2655</v>
      </c>
      <c r="E47" s="47">
        <f>E45+E46</f>
        <v>2838</v>
      </c>
      <c r="F47" s="55">
        <f>F45+F46</f>
        <v>3122</v>
      </c>
      <c r="G47" s="47">
        <f>G39-G43</f>
        <v>2730.4748901978514</v>
      </c>
      <c r="H47" s="47">
        <f t="shared" ref="H47:K47" si="15">H39-H43</f>
        <v>2993.2283463985405</v>
      </c>
      <c r="I47" s="47">
        <f t="shared" si="15"/>
        <v>3276.7764902811114</v>
      </c>
      <c r="J47" s="47">
        <f t="shared" si="15"/>
        <v>3600.0170695847937</v>
      </c>
      <c r="K47" s="55">
        <f t="shared" si="15"/>
        <v>3971.4885395597194</v>
      </c>
    </row>
    <row r="48" spans="1:17">
      <c r="C48" s="47"/>
      <c r="D48" s="47"/>
      <c r="E48" s="47"/>
      <c r="F48" s="55"/>
      <c r="G48" s="47"/>
      <c r="H48" s="47"/>
      <c r="I48" s="47"/>
      <c r="J48" s="47"/>
      <c r="K48" s="55"/>
      <c r="M48" s="39">
        <f>G47-G55</f>
        <v>136.52374450989237</v>
      </c>
      <c r="N48" s="39">
        <f t="shared" ref="N48:Q48" si="16">H47-H55</f>
        <v>149.66141731992684</v>
      </c>
      <c r="O48" s="39">
        <f t="shared" si="16"/>
        <v>163.83882451405543</v>
      </c>
      <c r="P48" s="39">
        <f t="shared" si="16"/>
        <v>180.00085347923959</v>
      </c>
      <c r="Q48" s="39">
        <f t="shared" si="16"/>
        <v>198.57442697798615</v>
      </c>
    </row>
    <row r="49" spans="1:11">
      <c r="A49" t="s">
        <v>38</v>
      </c>
      <c r="C49" s="45">
        <v>172</v>
      </c>
      <c r="D49" s="45">
        <v>182</v>
      </c>
      <c r="E49" s="45">
        <v>155</v>
      </c>
      <c r="F49" s="46">
        <v>160</v>
      </c>
      <c r="G49" s="47"/>
      <c r="H49" s="47"/>
      <c r="I49" s="47"/>
      <c r="J49" s="47"/>
      <c r="K49" s="55"/>
    </row>
    <row r="50" spans="1:11">
      <c r="A50" s="35" t="s">
        <v>15</v>
      </c>
      <c r="C50" s="45">
        <v>0</v>
      </c>
      <c r="D50" s="47">
        <f>-21+1</f>
        <v>-20</v>
      </c>
      <c r="E50" s="45">
        <v>1</v>
      </c>
      <c r="F50" s="46">
        <v>0</v>
      </c>
      <c r="G50" s="47"/>
      <c r="H50" s="47"/>
      <c r="I50" s="47"/>
      <c r="J50" s="47"/>
      <c r="K50" s="55"/>
    </row>
    <row r="51" spans="1:11">
      <c r="A51" t="s">
        <v>37</v>
      </c>
      <c r="C51" s="47">
        <f>C49+C50</f>
        <v>172</v>
      </c>
      <c r="D51" s="47">
        <f>D49+D50</f>
        <v>162</v>
      </c>
      <c r="E51" s="47">
        <f>E49+E50</f>
        <v>156</v>
      </c>
      <c r="F51" s="55">
        <f>F49+F50</f>
        <v>160</v>
      </c>
      <c r="G51" s="47">
        <f>G47*G74</f>
        <v>136.52374450989257</v>
      </c>
      <c r="H51" s="47">
        <f t="shared" ref="H51:K51" si="17">H47*H74</f>
        <v>149.66141731992704</v>
      </c>
      <c r="I51" s="47">
        <f t="shared" si="17"/>
        <v>163.83882451405557</v>
      </c>
      <c r="J51" s="47">
        <f t="shared" si="17"/>
        <v>180.00085347923971</v>
      </c>
      <c r="K51" s="55">
        <f t="shared" si="17"/>
        <v>198.57442697798598</v>
      </c>
    </row>
    <row r="52" spans="1:11">
      <c r="C52" s="47"/>
      <c r="D52" s="47"/>
      <c r="E52" s="47"/>
      <c r="F52" s="55"/>
      <c r="G52" s="47"/>
      <c r="H52" s="47"/>
      <c r="I52" s="47"/>
      <c r="J52" s="47"/>
      <c r="K52" s="55"/>
    </row>
    <row r="53" spans="1:11">
      <c r="A53" t="s">
        <v>39</v>
      </c>
      <c r="C53" s="47">
        <f>C45-C49</f>
        <v>2166</v>
      </c>
      <c r="D53" s="47">
        <f>D45-D49</f>
        <v>1785</v>
      </c>
      <c r="E53" s="47">
        <f>E45-E49</f>
        <v>2300</v>
      </c>
      <c r="F53" s="55">
        <f>F45-F49</f>
        <v>2889</v>
      </c>
      <c r="G53" s="47"/>
      <c r="H53" s="47"/>
      <c r="I53" s="47"/>
      <c r="J53" s="47"/>
      <c r="K53" s="55"/>
    </row>
    <row r="54" spans="1:11">
      <c r="A54" s="35" t="s">
        <v>15</v>
      </c>
      <c r="C54" s="48">
        <f>518+55-20</f>
        <v>553</v>
      </c>
      <c r="D54" s="47">
        <f>620+87-15+16</f>
        <v>708</v>
      </c>
      <c r="E54" s="47">
        <f>212+126+25+19</f>
        <v>382</v>
      </c>
      <c r="F54" s="46">
        <v>73</v>
      </c>
      <c r="G54" s="47"/>
      <c r="H54" s="47"/>
      <c r="I54" s="47"/>
      <c r="J54" s="47"/>
      <c r="K54" s="55"/>
    </row>
    <row r="55" spans="1:11">
      <c r="A55" s="50" t="s">
        <v>40</v>
      </c>
      <c r="B55" s="51"/>
      <c r="C55" s="52">
        <f>C53+C54</f>
        <v>2719</v>
      </c>
      <c r="D55" s="52">
        <f>D53+D54</f>
        <v>2493</v>
      </c>
      <c r="E55" s="52">
        <f>E53+E54</f>
        <v>2682</v>
      </c>
      <c r="F55" s="53">
        <f>F53+F54</f>
        <v>2962</v>
      </c>
      <c r="G55" s="54">
        <f>G47-G51</f>
        <v>2593.9511456879591</v>
      </c>
      <c r="H55" s="54">
        <f t="shared" ref="H55:K55" si="18">H47-H51</f>
        <v>2843.5669290786136</v>
      </c>
      <c r="I55" s="54">
        <f t="shared" si="18"/>
        <v>3112.9376657670559</v>
      </c>
      <c r="J55" s="54">
        <f t="shared" si="18"/>
        <v>3420.0162161055541</v>
      </c>
      <c r="K55" s="258">
        <f t="shared" si="18"/>
        <v>3772.9141125817332</v>
      </c>
    </row>
    <row r="56" spans="1:11">
      <c r="A56" t="s">
        <v>41</v>
      </c>
      <c r="C56" s="45">
        <v>2.56</v>
      </c>
      <c r="D56" s="45">
        <v>2.13</v>
      </c>
      <c r="E56" s="45">
        <v>2.78</v>
      </c>
      <c r="F56" s="46">
        <v>3.53</v>
      </c>
      <c r="G56" s="47"/>
      <c r="H56" s="47"/>
      <c r="I56" s="47"/>
      <c r="J56" s="47"/>
      <c r="K56" s="55"/>
    </row>
    <row r="57" spans="1:11">
      <c r="A57" t="s">
        <v>42</v>
      </c>
      <c r="C57" s="45">
        <v>2.5499999999999998</v>
      </c>
      <c r="D57" s="45">
        <v>2.13</v>
      </c>
      <c r="E57" s="45">
        <v>2.77</v>
      </c>
      <c r="F57" s="46">
        <v>3.51</v>
      </c>
      <c r="G57" s="47"/>
      <c r="H57" s="47"/>
      <c r="I57" s="47"/>
      <c r="J57" s="47"/>
      <c r="K57" s="55"/>
    </row>
    <row r="58" spans="1:11">
      <c r="C58" s="89"/>
      <c r="D58" s="89"/>
      <c r="E58" s="89"/>
      <c r="F58" s="55"/>
      <c r="G58" s="47"/>
      <c r="H58" s="47"/>
      <c r="I58" s="47"/>
      <c r="J58" s="47"/>
      <c r="K58" s="55"/>
    </row>
    <row r="59" spans="1:11">
      <c r="A59" t="s">
        <v>43</v>
      </c>
      <c r="C59" s="90">
        <f>C55/C60</f>
        <v>3.2052339974065802</v>
      </c>
      <c r="D59" s="91">
        <f t="shared" ref="D59" si="19">D55/D60</f>
        <v>2.9721030042918501</v>
      </c>
      <c r="E59" s="91">
        <f t="shared" ref="E59" si="20">E55/E60</f>
        <v>3.2344428364688902</v>
      </c>
      <c r="F59" s="92">
        <f t="shared" ref="F59:G59" si="21">F55/F60</f>
        <v>3.5981535471331401</v>
      </c>
      <c r="G59" s="56">
        <f t="shared" si="21"/>
        <v>3.1510582430611747</v>
      </c>
      <c r="H59" s="56">
        <f t="shared" ref="H59:K59" si="22">H55/H60</f>
        <v>3.4542844133608037</v>
      </c>
      <c r="I59" s="56">
        <f t="shared" si="22"/>
        <v>3.7815083403389891</v>
      </c>
      <c r="J59" s="56">
        <f t="shared" si="22"/>
        <v>4.1545386493021796</v>
      </c>
      <c r="K59" s="92">
        <f t="shared" si="22"/>
        <v>4.5832289997348559</v>
      </c>
    </row>
    <row r="60" spans="1:11">
      <c r="A60" t="s">
        <v>44</v>
      </c>
      <c r="C60" s="93">
        <v>848.3</v>
      </c>
      <c r="D60" s="93">
        <v>838.8</v>
      </c>
      <c r="E60" s="93">
        <v>829.2</v>
      </c>
      <c r="F60" s="94">
        <v>823.2</v>
      </c>
      <c r="G60" s="47">
        <f>F60</f>
        <v>823.2</v>
      </c>
      <c r="H60" s="47">
        <f t="shared" ref="H60:K60" si="23">G60</f>
        <v>823.2</v>
      </c>
      <c r="I60" s="47">
        <f t="shared" si="23"/>
        <v>823.2</v>
      </c>
      <c r="J60" s="47">
        <f t="shared" si="23"/>
        <v>823.2</v>
      </c>
      <c r="K60" s="55">
        <f t="shared" si="23"/>
        <v>823.2</v>
      </c>
    </row>
    <row r="61" spans="1:11">
      <c r="C61" s="89"/>
      <c r="D61" s="89"/>
      <c r="E61" s="89"/>
      <c r="F61" s="55"/>
      <c r="G61" s="47"/>
      <c r="H61" s="47"/>
      <c r="I61" s="47"/>
      <c r="J61" s="47"/>
      <c r="K61" s="55"/>
    </row>
    <row r="62" spans="1:11">
      <c r="A62" t="s">
        <v>45</v>
      </c>
      <c r="C62" s="95">
        <v>1.79</v>
      </c>
      <c r="D62" s="95">
        <v>1.86</v>
      </c>
      <c r="E62" s="95">
        <v>1.91</v>
      </c>
      <c r="F62" s="96">
        <v>2.48</v>
      </c>
      <c r="G62" s="56">
        <f>G59*G63</f>
        <v>2.1912267533225216</v>
      </c>
      <c r="H62" s="56">
        <f t="shared" ref="H62:K62" si="24">H59*H63</f>
        <v>2.4233374864932116</v>
      </c>
      <c r="I62" s="56">
        <f t="shared" si="24"/>
        <v>2.6761619623920478</v>
      </c>
      <c r="J62" s="56">
        <f t="shared" si="24"/>
        <v>2.9657111030474672</v>
      </c>
      <c r="K62" s="92">
        <f t="shared" si="24"/>
        <v>3.2999248798090961</v>
      </c>
    </row>
    <row r="63" spans="1:11">
      <c r="A63" s="262" t="s">
        <v>46</v>
      </c>
      <c r="B63" s="262"/>
      <c r="C63" s="263">
        <f>C62/C59</f>
        <v>0.55846156675248204</v>
      </c>
      <c r="D63" s="263">
        <f t="shared" ref="D63:F63" si="25">D62/D59</f>
        <v>0.62581949458483799</v>
      </c>
      <c r="E63" s="263">
        <f t="shared" si="25"/>
        <v>0.59051901565995502</v>
      </c>
      <c r="F63" s="264">
        <f t="shared" si="25"/>
        <v>0.68924240378122903</v>
      </c>
      <c r="G63" s="263">
        <f>F63+($K$63-$F$63)/5</f>
        <v>0.69539392302498326</v>
      </c>
      <c r="H63" s="263">
        <f t="shared" ref="H63:J63" si="26">G63+($K$63-$F$63)/5</f>
        <v>0.7015454422687375</v>
      </c>
      <c r="I63" s="263">
        <f t="shared" si="26"/>
        <v>0.70769696151249173</v>
      </c>
      <c r="J63" s="263">
        <f t="shared" si="26"/>
        <v>0.71384848075624596</v>
      </c>
      <c r="K63" s="264">
        <v>0.72</v>
      </c>
    </row>
    <row r="64" spans="1:11">
      <c r="C64" s="89"/>
      <c r="D64" s="89"/>
      <c r="E64" s="89"/>
      <c r="F64" s="89"/>
      <c r="G64" s="47"/>
      <c r="H64" s="47"/>
      <c r="I64" s="47"/>
      <c r="J64" s="47"/>
      <c r="K64" s="47"/>
    </row>
    <row r="65" spans="1:11">
      <c r="C65" s="89"/>
      <c r="D65" s="89"/>
      <c r="E65" s="89"/>
      <c r="F65" s="89"/>
      <c r="G65" s="47"/>
      <c r="H65" s="47"/>
      <c r="I65" s="47"/>
      <c r="J65" s="47"/>
      <c r="K65" s="47"/>
    </row>
    <row r="66" spans="1:11">
      <c r="C66" s="91"/>
      <c r="D66" s="89"/>
      <c r="E66" s="89"/>
      <c r="F66" s="89"/>
      <c r="G66" s="47"/>
      <c r="H66" s="47"/>
      <c r="I66" s="47"/>
      <c r="J66" s="47"/>
      <c r="K66" s="47"/>
    </row>
    <row r="67" spans="1:11">
      <c r="C67" s="328" t="s">
        <v>47</v>
      </c>
      <c r="D67" s="328"/>
      <c r="E67" s="328"/>
      <c r="F67" s="328"/>
      <c r="G67" s="47"/>
      <c r="H67" s="47"/>
      <c r="I67" s="47"/>
      <c r="J67" s="47"/>
      <c r="K67" s="47"/>
    </row>
    <row r="68" spans="1:11">
      <c r="C68" s="89"/>
      <c r="D68" s="89"/>
      <c r="E68" s="89"/>
      <c r="F68" s="89"/>
      <c r="G68" s="47"/>
      <c r="H68" s="47"/>
      <c r="I68" s="47"/>
      <c r="J68" s="47"/>
      <c r="K68" s="47"/>
    </row>
    <row r="69" spans="1:11">
      <c r="C69" s="89"/>
      <c r="D69" s="89"/>
      <c r="E69" s="89"/>
      <c r="F69" s="89"/>
      <c r="G69" s="47"/>
      <c r="H69" s="47"/>
      <c r="I69" s="47"/>
      <c r="J69" s="47"/>
      <c r="K69" s="47"/>
    </row>
    <row r="70" spans="1:11">
      <c r="A70" t="s">
        <v>48</v>
      </c>
      <c r="C70" s="97">
        <f>C14/C8</f>
        <v>0.59554560587796301</v>
      </c>
      <c r="D70" s="97">
        <f t="shared" ref="D70:F70" si="27">D14/D8</f>
        <v>0.57037902821840003</v>
      </c>
      <c r="E70" s="97">
        <f t="shared" si="27"/>
        <v>0.58215552243408497</v>
      </c>
      <c r="F70" s="97">
        <f t="shared" si="27"/>
        <v>0.605989751753644</v>
      </c>
      <c r="G70" s="57">
        <f>AVERAGE($D$70:$F$70)</f>
        <v>0.58617476746871</v>
      </c>
      <c r="H70" s="57">
        <f t="shared" ref="H70:K70" si="28">AVERAGE($D$70:$F$70)</f>
        <v>0.58617476746871</v>
      </c>
      <c r="I70" s="57">
        <f t="shared" si="28"/>
        <v>0.58617476746871</v>
      </c>
      <c r="J70" s="57">
        <f t="shared" si="28"/>
        <v>0.58617476746871</v>
      </c>
      <c r="K70" s="57">
        <f t="shared" si="28"/>
        <v>0.58617476746871</v>
      </c>
    </row>
    <row r="71" spans="1:11">
      <c r="A71" t="s">
        <v>49</v>
      </c>
      <c r="C71" s="97">
        <f>C18/C8</f>
        <v>0.367774524998565</v>
      </c>
      <c r="D71" s="97">
        <f t="shared" ref="D71:F71" si="29">D18/D8</f>
        <v>0.365113819780709</v>
      </c>
      <c r="E71" s="97">
        <f t="shared" si="29"/>
        <v>0.36742560518065498</v>
      </c>
      <c r="F71" s="97">
        <f t="shared" si="29"/>
        <v>0.38420974080891501</v>
      </c>
      <c r="G71" s="37">
        <f>AVERAGE($D$71:$F$71)</f>
        <v>0.37224972192342598</v>
      </c>
      <c r="H71" s="37">
        <f t="shared" ref="H71:K71" si="30">AVERAGE($D$71:$F$71)</f>
        <v>0.37224972192342598</v>
      </c>
      <c r="I71" s="37">
        <f t="shared" si="30"/>
        <v>0.37224972192342598</v>
      </c>
      <c r="J71" s="37">
        <f t="shared" si="30"/>
        <v>0.37224972192342598</v>
      </c>
      <c r="K71" s="37">
        <f t="shared" si="30"/>
        <v>0.37224972192342598</v>
      </c>
    </row>
    <row r="72" spans="1:11">
      <c r="A72" t="s">
        <v>50</v>
      </c>
      <c r="C72" s="97">
        <f>C22/C8</f>
        <v>5.2235807358934619E-3</v>
      </c>
      <c r="D72" s="97">
        <f t="shared" ref="D72:F72" si="31">D22/D8</f>
        <v>3.89603161351366E-4</v>
      </c>
      <c r="E72" s="97">
        <f t="shared" si="31"/>
        <v>7.2981446266125304E-3</v>
      </c>
      <c r="F72" s="97">
        <f t="shared" si="31"/>
        <v>5.2236207153872902E-3</v>
      </c>
      <c r="G72" s="37">
        <f>AVERAGE($E$72:$F$72)</f>
        <v>6.2608826709999099E-3</v>
      </c>
      <c r="H72" s="37">
        <f t="shared" ref="H72:K72" si="32">AVERAGE($E$72:$F$72)</f>
        <v>6.2608826709999099E-3</v>
      </c>
      <c r="I72" s="37">
        <f t="shared" si="32"/>
        <v>6.2608826709999099E-3</v>
      </c>
      <c r="J72" s="37">
        <f t="shared" si="32"/>
        <v>6.2608826709999099E-3</v>
      </c>
      <c r="K72" s="37">
        <f t="shared" si="32"/>
        <v>6.2608826709999099E-3</v>
      </c>
    </row>
    <row r="73" spans="1:11">
      <c r="A73" t="s">
        <v>51</v>
      </c>
      <c r="C73" s="97">
        <f>C43/C39</f>
        <v>0.220124089560291</v>
      </c>
      <c r="D73" s="97">
        <f t="shared" ref="D73:F73" si="33">D43/D39</f>
        <v>0.23332370776783101</v>
      </c>
      <c r="E73" s="97">
        <f t="shared" si="33"/>
        <v>0.236275565123789</v>
      </c>
      <c r="F73" s="97">
        <f t="shared" si="33"/>
        <v>0.227418955704034</v>
      </c>
      <c r="G73" s="37">
        <f>AVERAGE($D$73:$F$73)</f>
        <v>0.23233940953188501</v>
      </c>
      <c r="H73" s="37">
        <f t="shared" ref="H73:K73" si="34">AVERAGE($D$73:$F$73)</f>
        <v>0.23233940953188501</v>
      </c>
      <c r="I73" s="37">
        <f t="shared" si="34"/>
        <v>0.23233940953188501</v>
      </c>
      <c r="J73" s="37">
        <f t="shared" si="34"/>
        <v>0.23233940953188501</v>
      </c>
      <c r="K73" s="37">
        <f t="shared" si="34"/>
        <v>0.23233940953188501</v>
      </c>
    </row>
    <row r="74" spans="1:11">
      <c r="A74" t="s">
        <v>52</v>
      </c>
      <c r="C74" s="97">
        <f>C49/C45</f>
        <v>7.3567151411462806E-2</v>
      </c>
      <c r="D74" s="97">
        <f t="shared" ref="D74:F74" si="35">D49/D45</f>
        <v>9.2526690391459096E-2</v>
      </c>
      <c r="E74" s="97">
        <f t="shared" si="35"/>
        <v>6.3136456211812603E-2</v>
      </c>
      <c r="F74" s="97">
        <f t="shared" si="35"/>
        <v>5.2476221712036697E-2</v>
      </c>
      <c r="G74" s="37">
        <v>0.05</v>
      </c>
      <c r="H74" s="37">
        <v>0.05</v>
      </c>
      <c r="I74" s="37">
        <v>0.05</v>
      </c>
      <c r="J74" s="37">
        <v>0.05</v>
      </c>
      <c r="K74" s="37">
        <v>0.05</v>
      </c>
    </row>
    <row r="75" spans="1:11">
      <c r="A75" t="s">
        <v>53</v>
      </c>
      <c r="C75" s="89">
        <f>C60*C62</f>
        <v>1518.4570000000001</v>
      </c>
      <c r="D75" s="89">
        <f t="shared" ref="D75:K75" si="36">D60*D62</f>
        <v>1560.1679999999999</v>
      </c>
      <c r="E75" s="89">
        <f t="shared" si="36"/>
        <v>1583.7719999999999</v>
      </c>
      <c r="F75" s="89">
        <f t="shared" si="36"/>
        <v>2041.5360000000001</v>
      </c>
      <c r="G75" s="47">
        <f>G60*G62</f>
        <v>1803.8178633350999</v>
      </c>
      <c r="H75" s="47">
        <f t="shared" si="36"/>
        <v>1994.8914188812118</v>
      </c>
      <c r="I75" s="47">
        <f t="shared" si="36"/>
        <v>2203.0165274411338</v>
      </c>
      <c r="J75" s="47">
        <f t="shared" si="36"/>
        <v>2441.373380028675</v>
      </c>
      <c r="K75" s="47">
        <f t="shared" si="36"/>
        <v>2716.4981610588479</v>
      </c>
    </row>
    <row r="76" spans="1:11">
      <c r="A76" t="s">
        <v>117</v>
      </c>
      <c r="C76" s="99">
        <v>556</v>
      </c>
      <c r="D76" s="99">
        <v>545</v>
      </c>
      <c r="E76" s="99">
        <v>567</v>
      </c>
      <c r="F76" s="99">
        <v>605</v>
      </c>
      <c r="G76" s="47">
        <f>Capex!G12+Capex!G17</f>
        <v>608.19946895024066</v>
      </c>
      <c r="H76" s="47">
        <f>Capex!H12+Capex!H17</f>
        <v>622.28737364964309</v>
      </c>
      <c r="I76" s="47">
        <f>Capex!I12+Capex!I17</f>
        <v>640.44046486312811</v>
      </c>
      <c r="J76" s="47">
        <f>Capex!J12+Capex!J17</f>
        <v>662.96098567239312</v>
      </c>
      <c r="K76" s="47">
        <f>Capex!K12+Capex!K17</f>
        <v>690.49351908054314</v>
      </c>
    </row>
    <row r="77" spans="1:11">
      <c r="A77" s="100" t="s">
        <v>118</v>
      </c>
      <c r="C77" s="89">
        <f>C26+C76</f>
        <v>3862</v>
      </c>
      <c r="D77" s="89">
        <f t="shared" ref="D77:F77" si="37">D26+D76</f>
        <v>4226</v>
      </c>
      <c r="E77" s="89">
        <f t="shared" si="37"/>
        <v>4578</v>
      </c>
      <c r="F77" s="89">
        <f t="shared" si="37"/>
        <v>4958</v>
      </c>
      <c r="G77" s="47">
        <f>G26+G76</f>
        <v>4475.4133297588705</v>
      </c>
      <c r="H77" s="47">
        <f t="shared" ref="H77:K77" si="38">H26+H76</f>
        <v>4818.7123219881751</v>
      </c>
      <c r="I77" s="47">
        <f t="shared" si="38"/>
        <v>5210.5317572338881</v>
      </c>
      <c r="J77" s="47">
        <f t="shared" si="38"/>
        <v>5658.7316599137939</v>
      </c>
      <c r="K77" s="47">
        <f t="shared" si="38"/>
        <v>6175.0622357460688</v>
      </c>
    </row>
    <row r="78" spans="1:11">
      <c r="A78" s="100" t="s">
        <v>119</v>
      </c>
      <c r="C78" s="97">
        <f>C77/C8</f>
        <v>0.22168647035187417</v>
      </c>
      <c r="D78" s="97">
        <f t="shared" ref="D78:K78" si="39">D77/D8</f>
        <v>0.23520899426726777</v>
      </c>
      <c r="E78" s="97">
        <f t="shared" si="39"/>
        <v>0.23528807113121242</v>
      </c>
      <c r="F78" s="97">
        <f t="shared" si="39"/>
        <v>0.24665439530371625</v>
      </c>
      <c r="G78" s="97">
        <f t="shared" si="39"/>
        <v>0.20766416287428408</v>
      </c>
      <c r="H78" s="97">
        <f t="shared" si="39"/>
        <v>0.2076641628742841</v>
      </c>
      <c r="I78" s="97">
        <f t="shared" si="39"/>
        <v>0.20766416287428419</v>
      </c>
      <c r="J78" s="97">
        <f t="shared" si="39"/>
        <v>0.20766416287428413</v>
      </c>
      <c r="K78" s="97">
        <f t="shared" si="39"/>
        <v>0.20766416287428405</v>
      </c>
    </row>
    <row r="81" s="265" customFormat="1"/>
  </sheetData>
  <mergeCells count="4">
    <mergeCell ref="C3:F3"/>
    <mergeCell ref="G3:K3"/>
    <mergeCell ref="C67:F67"/>
    <mergeCell ref="A3: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1"/>
  <sheetViews>
    <sheetView showGridLines="0" zoomScale="115" zoomScaleNormal="115" workbookViewId="0">
      <selection activeCell="D88" sqref="D88"/>
    </sheetView>
  </sheetViews>
  <sheetFormatPr defaultColWidth="9" defaultRowHeight="15"/>
  <cols>
    <col min="1" max="1" width="34.7109375" customWidth="1"/>
    <col min="2" max="2" width="11.85546875" customWidth="1"/>
    <col min="3" max="3" width="11.5703125" customWidth="1"/>
    <col min="4" max="4" width="10.7109375" customWidth="1"/>
    <col min="5" max="5" width="11.140625" customWidth="1"/>
    <col min="6" max="6" width="11.28515625" customWidth="1"/>
    <col min="7" max="7" width="11.140625" customWidth="1"/>
    <col min="8" max="8" width="9.7109375" customWidth="1"/>
    <col min="9" max="9" width="11.7109375" customWidth="1"/>
    <col min="10" max="10" width="11.42578125" customWidth="1"/>
    <col min="11" max="11" width="10.85546875" customWidth="1"/>
  </cols>
  <sheetData>
    <row r="1" spans="1:16">
      <c r="A1" s="308" t="s">
        <v>0</v>
      </c>
      <c r="B1" s="1"/>
      <c r="C1" s="303" t="s">
        <v>1</v>
      </c>
      <c r="D1" s="304"/>
      <c r="E1" s="304"/>
      <c r="F1" s="304"/>
      <c r="G1" s="305" t="s">
        <v>2</v>
      </c>
      <c r="H1" s="306"/>
      <c r="I1" s="306"/>
      <c r="J1" s="306"/>
      <c r="K1" s="307"/>
    </row>
    <row r="2" spans="1:16" ht="15.75" thickBot="1">
      <c r="A2" s="308"/>
      <c r="B2" s="1" t="s">
        <v>3</v>
      </c>
      <c r="C2" s="2">
        <v>2021</v>
      </c>
      <c r="D2" s="3">
        <f>C2+1</f>
        <v>2022</v>
      </c>
      <c r="E2" s="3">
        <f t="shared" ref="E2:H2" si="0">D2+1</f>
        <v>2023</v>
      </c>
      <c r="F2" s="4">
        <f t="shared" si="0"/>
        <v>2024</v>
      </c>
      <c r="G2" s="5">
        <f t="shared" si="0"/>
        <v>2025</v>
      </c>
      <c r="H2" s="5">
        <f t="shared" si="0"/>
        <v>2026</v>
      </c>
      <c r="I2" s="5">
        <f t="shared" ref="I2:K2" si="1">H2+1</f>
        <v>2027</v>
      </c>
      <c r="J2" s="5">
        <f t="shared" si="1"/>
        <v>2028</v>
      </c>
      <c r="K2" s="17">
        <f t="shared" si="1"/>
        <v>2029</v>
      </c>
    </row>
    <row r="3" spans="1:16">
      <c r="A3" s="6" t="s">
        <v>54</v>
      </c>
      <c r="B3" s="21"/>
      <c r="C3" s="22"/>
      <c r="D3" s="23"/>
      <c r="E3" s="23"/>
      <c r="F3" s="24"/>
      <c r="G3" s="23"/>
      <c r="H3" s="23"/>
      <c r="I3" s="23"/>
      <c r="J3" s="23"/>
      <c r="K3" s="24"/>
    </row>
    <row r="4" spans="1:16">
      <c r="A4" s="25" t="s">
        <v>55</v>
      </c>
      <c r="F4" s="16"/>
      <c r="K4" s="16"/>
    </row>
    <row r="5" spans="1:16">
      <c r="A5" s="26" t="s">
        <v>56</v>
      </c>
      <c r="C5" s="9">
        <v>832</v>
      </c>
      <c r="D5" s="9">
        <v>775</v>
      </c>
      <c r="E5" s="9">
        <v>966</v>
      </c>
      <c r="F5" s="15">
        <v>1096</v>
      </c>
      <c r="G5" s="125">
        <f>CFS!C33</f>
        <v>1614.9947249242846</v>
      </c>
      <c r="H5" s="125">
        <f>CFS!D33</f>
        <v>3277.6487094776417</v>
      </c>
      <c r="I5" s="125">
        <f>CFS!E33</f>
        <v>4991.568609026288</v>
      </c>
      <c r="J5" s="125">
        <f>CFS!F33</f>
        <v>6769.7557514636883</v>
      </c>
      <c r="K5" s="266">
        <f>CFS!G33</f>
        <v>8623.6746842210741</v>
      </c>
      <c r="L5" s="7"/>
      <c r="M5" s="7"/>
      <c r="N5" s="7"/>
      <c r="O5" s="7"/>
      <c r="P5" s="7"/>
    </row>
    <row r="6" spans="1:16">
      <c r="A6" s="26" t="s">
        <v>57</v>
      </c>
      <c r="C6" s="9">
        <v>1297</v>
      </c>
      <c r="D6" s="9">
        <v>1504</v>
      </c>
      <c r="E6" s="9">
        <v>1586</v>
      </c>
      <c r="F6" s="15">
        <v>1521</v>
      </c>
      <c r="G6" s="7">
        <f>G48</f>
        <v>1576.1915099216826</v>
      </c>
      <c r="H6" s="7">
        <f t="shared" ref="H6:K6" si="2">H48</f>
        <v>1638.3712486132674</v>
      </c>
      <c r="I6" s="7">
        <f t="shared" si="2"/>
        <v>1708.0890255945853</v>
      </c>
      <c r="J6" s="7">
        <f t="shared" si="2"/>
        <v>1786.0517025007046</v>
      </c>
      <c r="K6" s="10">
        <f t="shared" si="2"/>
        <v>1873.7634137730572</v>
      </c>
      <c r="L6" s="7"/>
      <c r="M6" s="7"/>
      <c r="N6" s="7"/>
      <c r="O6" s="7"/>
      <c r="P6" s="7"/>
    </row>
    <row r="7" spans="1:16">
      <c r="A7" s="26" t="s">
        <v>58</v>
      </c>
      <c r="C7" s="9">
        <v>1692</v>
      </c>
      <c r="D7" s="9">
        <v>2074</v>
      </c>
      <c r="E7" s="9">
        <v>1934</v>
      </c>
      <c r="F7" s="15">
        <v>1987</v>
      </c>
      <c r="G7" s="7">
        <f>G52</f>
        <v>2231.8547533908368</v>
      </c>
      <c r="H7" s="7">
        <f t="shared" ref="H7:K7" si="3">H52</f>
        <v>2403.0553624042027</v>
      </c>
      <c r="I7" s="7">
        <f t="shared" si="3"/>
        <v>2598.4527491012586</v>
      </c>
      <c r="J7" s="7">
        <f t="shared" si="3"/>
        <v>2821.9666481670592</v>
      </c>
      <c r="K7" s="10">
        <f t="shared" si="3"/>
        <v>3079.4567982565895</v>
      </c>
      <c r="L7" s="7"/>
      <c r="M7" s="7"/>
      <c r="N7" s="7"/>
      <c r="O7" s="7"/>
      <c r="P7" s="7"/>
    </row>
    <row r="8" spans="1:16">
      <c r="A8" s="26" t="s">
        <v>59</v>
      </c>
      <c r="C8" s="9">
        <v>576</v>
      </c>
      <c r="D8" s="9">
        <v>760</v>
      </c>
      <c r="E8" s="9">
        <v>793</v>
      </c>
      <c r="F8" s="15">
        <v>713</v>
      </c>
      <c r="G8" s="7">
        <f>G56</f>
        <v>764.44010174415621</v>
      </c>
      <c r="H8" s="7">
        <f t="shared" ref="H8:K8" si="4">H56</f>
        <v>823.07859995915226</v>
      </c>
      <c r="I8" s="7">
        <f t="shared" si="4"/>
        <v>890.00481813724116</v>
      </c>
      <c r="J8" s="7">
        <f t="shared" si="4"/>
        <v>966.56131783037881</v>
      </c>
      <c r="K8" s="10">
        <f t="shared" si="4"/>
        <v>1054.7551378957337</v>
      </c>
      <c r="L8" s="7"/>
      <c r="M8" s="7"/>
      <c r="N8" s="7"/>
      <c r="O8" s="7"/>
      <c r="P8" s="7"/>
    </row>
    <row r="9" spans="1:16">
      <c r="A9" s="6" t="s">
        <v>60</v>
      </c>
      <c r="C9" s="27">
        <f>SUM(C5:C8)</f>
        <v>4397</v>
      </c>
      <c r="D9" s="27">
        <f>SUM(D5:D8)</f>
        <v>5113</v>
      </c>
      <c r="E9" s="27">
        <f>SUM(E5:E8)</f>
        <v>5279</v>
      </c>
      <c r="F9" s="28">
        <f>SUM(F5:F8)</f>
        <v>5317</v>
      </c>
      <c r="G9" s="27">
        <f>SUM(G5:G8)</f>
        <v>6187.48108998096</v>
      </c>
      <c r="H9" s="27">
        <f t="shared" ref="H9:K9" si="5">SUM(H5:H8)</f>
        <v>8142.1539204542651</v>
      </c>
      <c r="I9" s="27">
        <f t="shared" si="5"/>
        <v>10188.115201859371</v>
      </c>
      <c r="J9" s="27">
        <f t="shared" si="5"/>
        <v>12344.335419961832</v>
      </c>
      <c r="K9" s="28">
        <f t="shared" si="5"/>
        <v>14631.650034146454</v>
      </c>
      <c r="L9" s="7"/>
      <c r="M9" s="7"/>
      <c r="N9" s="7"/>
      <c r="O9" s="7"/>
      <c r="P9" s="7"/>
    </row>
    <row r="10" spans="1:16">
      <c r="A10" s="26" t="s">
        <v>61</v>
      </c>
      <c r="C10" s="9">
        <v>3730</v>
      </c>
      <c r="D10" s="9">
        <v>4307</v>
      </c>
      <c r="E10" s="9">
        <v>4582</v>
      </c>
      <c r="F10" s="15">
        <v>4422</v>
      </c>
      <c r="G10" s="125">
        <f>Capex!G8</f>
        <v>4076.6873651235092</v>
      </c>
      <c r="H10" s="125">
        <f>Capex!H8</f>
        <v>3791.5852950415037</v>
      </c>
      <c r="I10" s="125">
        <f>Capex!I8</f>
        <v>3566.0058768179288</v>
      </c>
      <c r="J10" s="125">
        <f>Capex!J8</f>
        <v>3401.3568047972849</v>
      </c>
      <c r="K10" s="266">
        <f>Capex!K8</f>
        <v>3304.9424665173719</v>
      </c>
      <c r="L10" s="7"/>
      <c r="M10" s="7"/>
      <c r="N10" s="7"/>
      <c r="O10" s="7"/>
      <c r="P10" s="7"/>
    </row>
    <row r="11" spans="1:16">
      <c r="A11" s="26" t="s">
        <v>62</v>
      </c>
      <c r="C11" s="9">
        <v>3284</v>
      </c>
      <c r="D11" s="9">
        <v>3352</v>
      </c>
      <c r="E11" s="9">
        <v>3410</v>
      </c>
      <c r="F11" s="15">
        <v>3272</v>
      </c>
      <c r="G11" s="7">
        <f>F11</f>
        <v>3272</v>
      </c>
      <c r="H11" s="7">
        <f t="shared" ref="H11:K11" si="6">G11</f>
        <v>3272</v>
      </c>
      <c r="I11" s="7">
        <f t="shared" si="6"/>
        <v>3272</v>
      </c>
      <c r="J11" s="7">
        <f t="shared" si="6"/>
        <v>3272</v>
      </c>
      <c r="K11" s="10">
        <f t="shared" si="6"/>
        <v>3272</v>
      </c>
      <c r="L11" s="7"/>
      <c r="M11" s="117"/>
      <c r="N11" s="7"/>
      <c r="O11" s="7"/>
      <c r="P11" s="7"/>
    </row>
    <row r="12" spans="1:16">
      <c r="A12" s="26" t="s">
        <v>63</v>
      </c>
      <c r="C12" s="9">
        <v>2462</v>
      </c>
      <c r="D12" s="9">
        <v>1920</v>
      </c>
      <c r="E12" s="9">
        <v>1887</v>
      </c>
      <c r="F12" s="15">
        <v>1756</v>
      </c>
      <c r="G12" s="125">
        <f>Capex!G19</f>
        <v>1688</v>
      </c>
      <c r="H12" s="125">
        <f>Capex!H19</f>
        <v>1620</v>
      </c>
      <c r="I12" s="125">
        <f>Capex!I19</f>
        <v>1552</v>
      </c>
      <c r="J12" s="125">
        <f>Capex!J19</f>
        <v>1484</v>
      </c>
      <c r="K12" s="266">
        <f>Capex!K19</f>
        <v>1416</v>
      </c>
      <c r="L12" s="7"/>
      <c r="M12" s="7"/>
      <c r="N12" s="7"/>
      <c r="O12" s="7"/>
      <c r="P12" s="7"/>
    </row>
    <row r="13" spans="1:16">
      <c r="A13" s="26" t="s">
        <v>64</v>
      </c>
      <c r="C13" s="9">
        <v>193</v>
      </c>
      <c r="D13" s="9">
        <v>135</v>
      </c>
      <c r="E13" s="9">
        <v>214</v>
      </c>
      <c r="F13" s="15">
        <v>195</v>
      </c>
      <c r="G13" s="7">
        <f>F13</f>
        <v>195</v>
      </c>
      <c r="H13" s="7">
        <f t="shared" ref="H13:K13" si="7">G13</f>
        <v>195</v>
      </c>
      <c r="I13" s="7">
        <f t="shared" si="7"/>
        <v>195</v>
      </c>
      <c r="J13" s="7">
        <f t="shared" si="7"/>
        <v>195</v>
      </c>
      <c r="K13" s="10">
        <f t="shared" si="7"/>
        <v>195</v>
      </c>
      <c r="L13" s="7"/>
      <c r="M13" s="7"/>
      <c r="N13" s="7"/>
      <c r="O13" s="7"/>
      <c r="P13" s="7"/>
    </row>
    <row r="14" spans="1:16">
      <c r="A14" s="26" t="s">
        <v>65</v>
      </c>
      <c r="C14" s="9">
        <v>974</v>
      </c>
      <c r="D14" s="9">
        <v>904</v>
      </c>
      <c r="E14" s="9">
        <v>1021</v>
      </c>
      <c r="F14" s="15">
        <v>1084</v>
      </c>
      <c r="G14" s="7">
        <f>F14</f>
        <v>1084</v>
      </c>
      <c r="H14" s="7">
        <f t="shared" ref="H14:K14" si="8">G14</f>
        <v>1084</v>
      </c>
      <c r="I14" s="7">
        <f t="shared" si="8"/>
        <v>1084</v>
      </c>
      <c r="J14" s="7">
        <f t="shared" si="8"/>
        <v>1084</v>
      </c>
      <c r="K14" s="10">
        <f t="shared" si="8"/>
        <v>1084</v>
      </c>
      <c r="L14" s="7"/>
      <c r="M14" s="7"/>
      <c r="N14" s="7"/>
      <c r="O14" s="7"/>
      <c r="P14" s="7"/>
    </row>
    <row r="15" spans="1:16">
      <c r="A15" s="11" t="s">
        <v>66</v>
      </c>
      <c r="B15" s="12"/>
      <c r="C15" s="29">
        <f>SUM(C9:C14)</f>
        <v>15040</v>
      </c>
      <c r="D15" s="29">
        <f>SUM(D9:D14)</f>
        <v>15731</v>
      </c>
      <c r="E15" s="29">
        <f>SUM(E9:E14)</f>
        <v>16393</v>
      </c>
      <c r="F15" s="30">
        <f>SUM(F9:F14)</f>
        <v>16046</v>
      </c>
      <c r="G15" s="13">
        <f>SUM(G9:G14)</f>
        <v>16503.168455104467</v>
      </c>
      <c r="H15" s="13">
        <f t="shared" ref="H15:K15" si="9">SUM(H9:H14)</f>
        <v>18104.739215495771</v>
      </c>
      <c r="I15" s="13">
        <f t="shared" si="9"/>
        <v>19857.121078677301</v>
      </c>
      <c r="J15" s="13">
        <f t="shared" si="9"/>
        <v>21780.692224759117</v>
      </c>
      <c r="K15" s="14">
        <f t="shared" si="9"/>
        <v>23903.592500663828</v>
      </c>
      <c r="L15" s="7"/>
      <c r="M15" s="7"/>
    </row>
    <row r="16" spans="1:16">
      <c r="A16" s="6" t="s">
        <v>67</v>
      </c>
      <c r="C16" s="7"/>
      <c r="D16" s="7"/>
      <c r="E16" s="7"/>
      <c r="F16" s="10"/>
      <c r="G16" s="7"/>
      <c r="H16" s="7"/>
      <c r="I16" s="7"/>
      <c r="J16" s="7"/>
      <c r="K16" s="10"/>
      <c r="L16" s="7"/>
      <c r="M16" s="7"/>
    </row>
    <row r="17" spans="1:17">
      <c r="A17" s="25" t="s">
        <v>68</v>
      </c>
      <c r="C17" s="7"/>
      <c r="D17" s="7"/>
      <c r="E17" s="7"/>
      <c r="F17" s="10"/>
      <c r="G17" s="7"/>
      <c r="H17" s="7"/>
      <c r="I17" s="7"/>
      <c r="J17" s="7"/>
      <c r="K17" s="10"/>
      <c r="L17" s="7"/>
      <c r="M17" s="117"/>
      <c r="N17" s="7"/>
    </row>
    <row r="18" spans="1:17">
      <c r="A18" s="31" t="s">
        <v>69</v>
      </c>
      <c r="B18" s="32"/>
      <c r="C18" s="33">
        <v>12</v>
      </c>
      <c r="D18" s="33">
        <v>14</v>
      </c>
      <c r="E18" s="33">
        <v>20</v>
      </c>
      <c r="F18" s="15">
        <v>652</v>
      </c>
      <c r="G18" s="125">
        <f>Debt!D7</f>
        <v>1035</v>
      </c>
      <c r="H18" s="125">
        <f>Debt!E7</f>
        <v>509</v>
      </c>
      <c r="I18" s="125">
        <f>Debt!F7</f>
        <v>612</v>
      </c>
      <c r="J18" s="125">
        <f>Debt!G7</f>
        <v>519</v>
      </c>
      <c r="K18" s="266">
        <f>Debt!H7</f>
        <v>0</v>
      </c>
      <c r="L18" s="7"/>
      <c r="M18" s="7"/>
      <c r="N18" s="7"/>
      <c r="O18" s="7"/>
      <c r="P18" s="7"/>
    </row>
    <row r="19" spans="1:17">
      <c r="A19" s="136" t="s">
        <v>160</v>
      </c>
      <c r="B19" s="32"/>
      <c r="C19" s="33">
        <v>39</v>
      </c>
      <c r="D19" s="33">
        <v>11</v>
      </c>
      <c r="E19" s="33">
        <v>310</v>
      </c>
      <c r="F19" s="15">
        <v>8</v>
      </c>
      <c r="G19" s="125">
        <f>Debt!C20</f>
        <v>131.52288482674493</v>
      </c>
      <c r="H19" s="125">
        <f>Debt!D20</f>
        <v>134.13415627234778</v>
      </c>
      <c r="I19" s="125">
        <f>Debt!E20</f>
        <v>136.95530937276047</v>
      </c>
      <c r="J19" s="125">
        <f>Debt!F20</f>
        <v>139.95486417718476</v>
      </c>
      <c r="K19" s="266">
        <f>Debt!G20</f>
        <v>143.14273020302721</v>
      </c>
      <c r="L19" s="7"/>
      <c r="M19" s="7"/>
      <c r="N19" s="7"/>
      <c r="O19" s="7"/>
      <c r="P19" s="7"/>
    </row>
    <row r="20" spans="1:17">
      <c r="A20" s="26" t="s">
        <v>70</v>
      </c>
      <c r="C20" s="9">
        <v>1479</v>
      </c>
      <c r="D20" s="9">
        <v>1551</v>
      </c>
      <c r="E20" s="9">
        <v>1698</v>
      </c>
      <c r="F20" s="15">
        <v>1805</v>
      </c>
      <c r="G20" s="7">
        <f t="shared" ref="G20:K20" si="10">G60</f>
        <v>2051.8612552062946</v>
      </c>
      <c r="H20" s="7">
        <f t="shared" si="10"/>
        <v>2235.5633098578123</v>
      </c>
      <c r="I20" s="7">
        <f t="shared" si="10"/>
        <v>2445.789104398079</v>
      </c>
      <c r="J20" s="7">
        <f t="shared" si="10"/>
        <v>2687.0657047858317</v>
      </c>
      <c r="K20" s="10">
        <f t="shared" si="10"/>
        <v>2965.9603311968672</v>
      </c>
      <c r="L20" s="7"/>
      <c r="M20" s="7"/>
      <c r="N20" s="7"/>
      <c r="O20" s="7"/>
      <c r="P20" s="7"/>
      <c r="Q20" s="7"/>
    </row>
    <row r="21" spans="1:17">
      <c r="A21" s="26" t="s">
        <v>71</v>
      </c>
      <c r="C21" s="9">
        <v>436</v>
      </c>
      <c r="D21" s="9">
        <v>317</v>
      </c>
      <c r="E21" s="9">
        <v>336</v>
      </c>
      <c r="F21" s="15">
        <v>403</v>
      </c>
      <c r="G21" s="7">
        <f>G64</f>
        <v>339.32435245852605</v>
      </c>
      <c r="H21" s="7">
        <f t="shared" ref="H21:K21" si="11">H64</f>
        <v>371.97751718881148</v>
      </c>
      <c r="I21" s="7">
        <f t="shared" si="11"/>
        <v>407.21490049497999</v>
      </c>
      <c r="J21" s="7">
        <f t="shared" si="11"/>
        <v>447.38498250316616</v>
      </c>
      <c r="K21" s="10">
        <f t="shared" si="11"/>
        <v>493.5488628078574</v>
      </c>
      <c r="L21" s="7"/>
      <c r="M21" s="7"/>
      <c r="N21" s="7"/>
      <c r="O21" s="7"/>
      <c r="P21" s="7"/>
    </row>
    <row r="22" spans="1:17">
      <c r="A22" s="26" t="s">
        <v>72</v>
      </c>
      <c r="C22" s="9">
        <v>2085</v>
      </c>
      <c r="D22" s="9">
        <v>2111</v>
      </c>
      <c r="E22" s="9">
        <v>2377</v>
      </c>
      <c r="F22" s="15">
        <v>2891</v>
      </c>
      <c r="G22" s="7">
        <f>G70</f>
        <v>3247.2531917729789</v>
      </c>
      <c r="H22" s="7">
        <f t="shared" ref="H22:K22" si="12">H70</f>
        <v>3496.3427542579516</v>
      </c>
      <c r="I22" s="7">
        <f t="shared" si="12"/>
        <v>3780.6375931815496</v>
      </c>
      <c r="J22" s="7">
        <f t="shared" si="12"/>
        <v>4105.840754831891</v>
      </c>
      <c r="K22" s="10">
        <f t="shared" si="12"/>
        <v>4480.4779082837449</v>
      </c>
      <c r="L22" s="7"/>
      <c r="M22" s="7"/>
      <c r="N22" s="7"/>
      <c r="O22" s="7"/>
      <c r="P22" s="7"/>
    </row>
    <row r="23" spans="1:17">
      <c r="A23" s="25" t="s">
        <v>73</v>
      </c>
      <c r="C23" s="27">
        <f>SUM(C18:C22)</f>
        <v>4051</v>
      </c>
      <c r="D23" s="27">
        <f>SUM(D18:D22)</f>
        <v>4004</v>
      </c>
      <c r="E23" s="27">
        <f>SUM(E18:E22)</f>
        <v>4741</v>
      </c>
      <c r="F23" s="34">
        <f>SUM(F18:F22)</f>
        <v>5759</v>
      </c>
      <c r="G23" s="117">
        <f>SUM(G18:G22)</f>
        <v>6804.9616842645446</v>
      </c>
      <c r="H23" s="117">
        <f t="shared" ref="H23:J23" si="13">SUM(H18:H22)</f>
        <v>6747.0177375769235</v>
      </c>
      <c r="I23" s="117">
        <f t="shared" si="13"/>
        <v>7382.5969074473687</v>
      </c>
      <c r="J23" s="117">
        <f t="shared" si="13"/>
        <v>7899.2463062980733</v>
      </c>
      <c r="K23" s="267">
        <f>SUM(K18:K22)</f>
        <v>8083.1298324914969</v>
      </c>
      <c r="L23" s="7"/>
      <c r="M23" s="7"/>
      <c r="N23" s="7"/>
      <c r="O23" s="7"/>
      <c r="P23" s="7"/>
    </row>
    <row r="24" spans="1:17">
      <c r="A24" t="s">
        <v>74</v>
      </c>
      <c r="C24" s="9">
        <v>7194</v>
      </c>
      <c r="D24" s="9">
        <v>8741</v>
      </c>
      <c r="E24" s="9">
        <v>8219</v>
      </c>
      <c r="F24" s="15">
        <v>7289</v>
      </c>
      <c r="G24" s="126">
        <f>Debt!C8-Debt!D7</f>
        <v>5773.5497439771734</v>
      </c>
      <c r="H24" s="126">
        <f>Debt!D8-Debt!E7</f>
        <v>6434.7275235387642</v>
      </c>
      <c r="I24" s="126">
        <f>Debt!E8-Debt!F7</f>
        <v>6477.7702540098753</v>
      </c>
      <c r="J24" s="126">
        <f>Debt!F8-Debt!G7</f>
        <v>6726.0483116848663</v>
      </c>
      <c r="K24" s="268">
        <f>Debt!G8-Debt!H7</f>
        <v>7410.0746828952824</v>
      </c>
      <c r="L24" s="7"/>
      <c r="M24" s="117"/>
      <c r="N24" s="7"/>
      <c r="O24" s="7"/>
      <c r="P24" s="7"/>
    </row>
    <row r="25" spans="1:17">
      <c r="A25" t="s">
        <v>64</v>
      </c>
      <c r="C25" s="9">
        <v>395</v>
      </c>
      <c r="D25" s="9">
        <v>383</v>
      </c>
      <c r="E25" s="9">
        <v>361</v>
      </c>
      <c r="F25" s="15">
        <v>343</v>
      </c>
      <c r="G25" s="7">
        <f>F25</f>
        <v>343</v>
      </c>
      <c r="H25" s="7">
        <f t="shared" ref="H25:K26" si="14">G25</f>
        <v>343</v>
      </c>
      <c r="I25" s="7">
        <f t="shared" si="14"/>
        <v>343</v>
      </c>
      <c r="J25" s="7">
        <f t="shared" si="14"/>
        <v>343</v>
      </c>
      <c r="K25" s="10">
        <f t="shared" si="14"/>
        <v>343</v>
      </c>
      <c r="L25" s="7"/>
      <c r="M25" s="7"/>
      <c r="N25" s="7"/>
      <c r="O25" s="7"/>
      <c r="P25" s="7"/>
    </row>
    <row r="26" spans="1:17">
      <c r="A26" t="s">
        <v>75</v>
      </c>
      <c r="C26" s="9">
        <v>2429</v>
      </c>
      <c r="D26" s="9">
        <v>1797</v>
      </c>
      <c r="E26" s="9">
        <v>2115</v>
      </c>
      <c r="F26" s="15">
        <v>2111</v>
      </c>
      <c r="G26" s="7">
        <f>F26</f>
        <v>2111</v>
      </c>
      <c r="H26" s="7">
        <f t="shared" si="14"/>
        <v>2111</v>
      </c>
      <c r="I26" s="7">
        <f t="shared" si="14"/>
        <v>2111</v>
      </c>
      <c r="J26" s="7">
        <f t="shared" si="14"/>
        <v>2111</v>
      </c>
      <c r="K26" s="10">
        <f t="shared" si="14"/>
        <v>2111</v>
      </c>
      <c r="L26" s="7"/>
      <c r="M26" s="7"/>
      <c r="N26" s="7"/>
      <c r="O26" s="7"/>
      <c r="P26" s="7"/>
    </row>
    <row r="27" spans="1:17">
      <c r="A27" t="s">
        <v>76</v>
      </c>
      <c r="C27" s="27">
        <f>SUM(C23:C26)</f>
        <v>14069</v>
      </c>
      <c r="D27" s="27">
        <f>SUM(D23:D26)</f>
        <v>14925</v>
      </c>
      <c r="E27" s="27">
        <f>SUM(E23:E26)</f>
        <v>15436</v>
      </c>
      <c r="F27" s="28">
        <f>SUM(F23:F26)</f>
        <v>15502</v>
      </c>
      <c r="G27" s="117">
        <f>SUM(G23:G26)</f>
        <v>15032.511428241718</v>
      </c>
      <c r="H27" s="117">
        <f t="shared" ref="H27:J27" si="15">SUM(H23:H26)</f>
        <v>15635.745261115688</v>
      </c>
      <c r="I27" s="117">
        <f t="shared" si="15"/>
        <v>16314.367161457245</v>
      </c>
      <c r="J27" s="117">
        <f t="shared" si="15"/>
        <v>17079.294617982938</v>
      </c>
      <c r="K27" s="267">
        <f>SUM(K23:K26)</f>
        <v>17947.20451538678</v>
      </c>
      <c r="L27" s="7"/>
      <c r="M27" s="7"/>
      <c r="N27" s="7"/>
      <c r="O27" s="7"/>
      <c r="P27" s="7"/>
    </row>
    <row r="28" spans="1:17">
      <c r="A28" t="s">
        <v>77</v>
      </c>
      <c r="C28" s="7"/>
      <c r="D28" s="7"/>
      <c r="E28" s="7"/>
      <c r="F28" s="10"/>
      <c r="G28" s="7"/>
      <c r="H28" s="7"/>
      <c r="I28" s="7"/>
      <c r="J28" s="7"/>
      <c r="K28" s="269" t="s">
        <v>90</v>
      </c>
      <c r="L28" s="7"/>
      <c r="M28" s="117"/>
      <c r="N28" s="7"/>
      <c r="O28" s="7"/>
      <c r="P28" s="7"/>
    </row>
    <row r="29" spans="1:17">
      <c r="A29" s="6" t="s">
        <v>78</v>
      </c>
      <c r="C29" s="7"/>
      <c r="D29" s="7"/>
      <c r="E29" s="7"/>
      <c r="F29" s="10"/>
      <c r="G29" s="7"/>
      <c r="H29" s="7"/>
      <c r="I29" s="7"/>
      <c r="J29" s="7"/>
      <c r="K29" s="10"/>
      <c r="L29" s="7"/>
      <c r="M29" s="7"/>
      <c r="N29" s="7"/>
      <c r="O29" s="7"/>
      <c r="P29" s="7"/>
    </row>
    <row r="30" spans="1:17" hidden="1">
      <c r="A30" s="26" t="s">
        <v>79</v>
      </c>
      <c r="C30" s="9">
        <v>1466</v>
      </c>
      <c r="D30" s="9">
        <v>1466</v>
      </c>
      <c r="E30" s="9">
        <v>1466</v>
      </c>
      <c r="F30" s="15">
        <v>1466</v>
      </c>
      <c r="G30" s="7">
        <f>F30</f>
        <v>1466</v>
      </c>
      <c r="H30" s="7">
        <f t="shared" ref="H30:K30" si="16">G30</f>
        <v>1466</v>
      </c>
      <c r="I30" s="7">
        <f t="shared" si="16"/>
        <v>1466</v>
      </c>
      <c r="J30" s="7">
        <f t="shared" si="16"/>
        <v>1466</v>
      </c>
      <c r="K30" s="10">
        <f t="shared" si="16"/>
        <v>1466</v>
      </c>
      <c r="L30" s="7"/>
      <c r="M30" s="7"/>
      <c r="N30" s="7"/>
      <c r="O30" s="7"/>
      <c r="P30" s="7"/>
    </row>
    <row r="31" spans="1:17" hidden="1">
      <c r="A31" s="26" t="s">
        <v>80</v>
      </c>
      <c r="C31" s="9">
        <v>3269</v>
      </c>
      <c r="D31" s="9">
        <v>3546</v>
      </c>
      <c r="E31" s="9">
        <v>3808</v>
      </c>
      <c r="F31" s="15">
        <v>4181</v>
      </c>
      <c r="G31" s="7">
        <f>F31</f>
        <v>4181</v>
      </c>
      <c r="H31" s="7">
        <f t="shared" ref="H31:K31" si="17">G31</f>
        <v>4181</v>
      </c>
      <c r="I31" s="7">
        <f t="shared" si="17"/>
        <v>4181</v>
      </c>
      <c r="J31" s="7">
        <f t="shared" si="17"/>
        <v>4181</v>
      </c>
      <c r="K31" s="10">
        <f t="shared" si="17"/>
        <v>4181</v>
      </c>
      <c r="L31" s="7"/>
      <c r="M31" s="7"/>
      <c r="N31" s="7"/>
      <c r="O31" s="7"/>
      <c r="P31" s="7"/>
    </row>
    <row r="32" spans="1:17" hidden="1">
      <c r="A32" s="26" t="s">
        <v>81</v>
      </c>
      <c r="C32" s="9">
        <v>24350</v>
      </c>
      <c r="D32" s="9">
        <v>24573</v>
      </c>
      <c r="E32" s="9">
        <v>25289</v>
      </c>
      <c r="F32" s="15">
        <v>26145</v>
      </c>
      <c r="G32" s="7">
        <f>F32+'P&amp;L'!G55-'P&amp;L'!G75</f>
        <v>26935.133282352857</v>
      </c>
      <c r="H32" s="7">
        <f>G32+'P&amp;L'!H55-'P&amp;L'!H75</f>
        <v>27783.808792550259</v>
      </c>
      <c r="I32" s="7">
        <f>H32+'P&amp;L'!I55-'P&amp;L'!I75</f>
        <v>28693.729930876179</v>
      </c>
      <c r="J32" s="7">
        <f>I32+'P&amp;L'!J55-'P&amp;L'!J75</f>
        <v>29672.37276695306</v>
      </c>
      <c r="K32" s="10">
        <f>J32+'P&amp;L'!K55-'P&amp;L'!K75</f>
        <v>30728.788718475942</v>
      </c>
      <c r="L32" s="7"/>
      <c r="M32" s="7"/>
      <c r="N32" s="7"/>
      <c r="O32" s="7"/>
      <c r="P32" s="7"/>
    </row>
    <row r="33" spans="1:16" hidden="1">
      <c r="A33" s="26" t="s">
        <v>82</v>
      </c>
      <c r="C33" s="9">
        <v>-4386</v>
      </c>
      <c r="D33" s="9">
        <v>-4055</v>
      </c>
      <c r="E33" s="9">
        <v>-3937</v>
      </c>
      <c r="F33" s="15">
        <v>-4222</v>
      </c>
      <c r="G33" s="7">
        <f>F33</f>
        <v>-4222</v>
      </c>
      <c r="H33" s="7">
        <f t="shared" ref="H33:K33" si="18">G33</f>
        <v>-4222</v>
      </c>
      <c r="I33" s="7">
        <f t="shared" si="18"/>
        <v>-4222</v>
      </c>
      <c r="J33" s="7">
        <f t="shared" si="18"/>
        <v>-4222</v>
      </c>
      <c r="K33" s="10">
        <f t="shared" si="18"/>
        <v>-4222</v>
      </c>
      <c r="L33" s="7"/>
      <c r="M33" s="7"/>
      <c r="N33" s="7"/>
      <c r="O33" s="7"/>
      <c r="P33" s="7"/>
    </row>
    <row r="34" spans="1:16" hidden="1">
      <c r="A34" s="26" t="s">
        <v>83</v>
      </c>
      <c r="C34" s="9">
        <v>-1</v>
      </c>
      <c r="D34" s="9">
        <v>-1</v>
      </c>
      <c r="E34" s="9">
        <v>0</v>
      </c>
      <c r="F34" s="15">
        <v>0</v>
      </c>
      <c r="G34" s="7">
        <f>F34</f>
        <v>0</v>
      </c>
      <c r="H34" s="7">
        <f t="shared" ref="H34:K35" si="19">G34</f>
        <v>0</v>
      </c>
      <c r="I34" s="7">
        <f t="shared" si="19"/>
        <v>0</v>
      </c>
      <c r="J34" s="7">
        <f t="shared" si="19"/>
        <v>0</v>
      </c>
      <c r="K34" s="10">
        <f t="shared" si="19"/>
        <v>0</v>
      </c>
      <c r="L34" s="7"/>
      <c r="M34" s="7"/>
      <c r="N34" s="7"/>
      <c r="O34" s="7"/>
      <c r="P34" s="7"/>
    </row>
    <row r="35" spans="1:16" hidden="1">
      <c r="A35" s="26" t="s">
        <v>84</v>
      </c>
      <c r="C35" s="9">
        <v>-24089</v>
      </c>
      <c r="D35" s="9">
        <v>-25128</v>
      </c>
      <c r="E35" s="9">
        <v>-26017</v>
      </c>
      <c r="F35" s="15">
        <v>-27358</v>
      </c>
      <c r="G35" s="7">
        <f>F35</f>
        <v>-27358</v>
      </c>
      <c r="H35" s="7">
        <f t="shared" si="19"/>
        <v>-27358</v>
      </c>
      <c r="I35" s="7">
        <f t="shared" si="19"/>
        <v>-27358</v>
      </c>
      <c r="J35" s="7">
        <f t="shared" si="19"/>
        <v>-27358</v>
      </c>
      <c r="K35" s="10">
        <f t="shared" si="19"/>
        <v>-27358</v>
      </c>
      <c r="L35" s="7"/>
      <c r="M35" s="7"/>
      <c r="N35" s="7"/>
      <c r="O35" s="7"/>
      <c r="P35" s="7"/>
    </row>
    <row r="36" spans="1:16">
      <c r="A36" s="6" t="s">
        <v>85</v>
      </c>
      <c r="C36" s="27">
        <f>SUM(C30:C35)</f>
        <v>609</v>
      </c>
      <c r="D36" s="27">
        <f>SUM(D30:D35)</f>
        <v>401</v>
      </c>
      <c r="E36" s="27">
        <f>SUM(E30:E35)</f>
        <v>609</v>
      </c>
      <c r="F36" s="28">
        <v>212</v>
      </c>
      <c r="G36" s="27">
        <f>F36+'P&amp;L'!G55-'P&amp;L'!G75</f>
        <v>1002.1332823528592</v>
      </c>
      <c r="H36" s="27">
        <f>G36+'P&amp;L'!H55-'P&amp;L'!H75</f>
        <v>1850.8087925502609</v>
      </c>
      <c r="I36" s="27">
        <f>H36+'P&amp;L'!I55-'P&amp;L'!I75</f>
        <v>2760.7299308761831</v>
      </c>
      <c r="J36" s="27">
        <f>I36+'P&amp;L'!J55-'P&amp;L'!J75</f>
        <v>3739.3727669530622</v>
      </c>
      <c r="K36" s="28">
        <f>J36+'P&amp;L'!K55-'P&amp;L'!K75</f>
        <v>4795.7887184759475</v>
      </c>
      <c r="L36" s="7"/>
      <c r="M36" s="7"/>
      <c r="N36" s="7"/>
      <c r="O36" s="7"/>
      <c r="P36" s="7"/>
    </row>
    <row r="37" spans="1:16">
      <c r="A37" t="s">
        <v>86</v>
      </c>
      <c r="C37" s="9">
        <v>362</v>
      </c>
      <c r="D37" s="9">
        <v>405</v>
      </c>
      <c r="E37" s="9">
        <v>348</v>
      </c>
      <c r="F37" s="15">
        <v>332</v>
      </c>
      <c r="G37" s="7">
        <f>F37+'P&amp;L'!G51</f>
        <v>468.52374450989259</v>
      </c>
      <c r="H37" s="7">
        <f>G37+'P&amp;L'!H51</f>
        <v>618.18516182981966</v>
      </c>
      <c r="I37" s="7">
        <f>H37+'P&amp;L'!I51</f>
        <v>782.02398634387521</v>
      </c>
      <c r="J37" s="7">
        <f>I37+'P&amp;L'!J51</f>
        <v>962.02483982311492</v>
      </c>
      <c r="K37" s="10">
        <f>J37+'P&amp;L'!K51</f>
        <v>1160.5992668011008</v>
      </c>
      <c r="L37" s="7"/>
      <c r="M37" s="7"/>
      <c r="N37" s="7"/>
      <c r="O37" s="7"/>
      <c r="P37" s="7"/>
    </row>
    <row r="38" spans="1:16">
      <c r="A38" t="s">
        <v>87</v>
      </c>
      <c r="C38" s="7">
        <f>C36+C37</f>
        <v>971</v>
      </c>
      <c r="D38" s="7">
        <f>D36+D37</f>
        <v>806</v>
      </c>
      <c r="E38" s="7">
        <f>E36+E37</f>
        <v>957</v>
      </c>
      <c r="F38" s="10">
        <f>F36+F37</f>
        <v>544</v>
      </c>
      <c r="G38" s="7">
        <f>G36+G37</f>
        <v>1470.6570268627518</v>
      </c>
      <c r="H38" s="7">
        <f t="shared" ref="H38:K38" si="20">H36+H37</f>
        <v>2468.9939543800806</v>
      </c>
      <c r="I38" s="7">
        <f t="shared" si="20"/>
        <v>3542.7539172200582</v>
      </c>
      <c r="J38" s="7">
        <f t="shared" si="20"/>
        <v>4701.3976067761769</v>
      </c>
      <c r="K38" s="10">
        <f t="shared" si="20"/>
        <v>5956.3879852770478</v>
      </c>
      <c r="L38" s="7"/>
      <c r="M38" s="117"/>
      <c r="N38" s="7"/>
      <c r="O38" s="7"/>
      <c r="P38" s="7"/>
    </row>
    <row r="39" spans="1:16">
      <c r="A39" s="11" t="s">
        <v>88</v>
      </c>
      <c r="B39" s="12"/>
      <c r="C39" s="120">
        <f>C27+C38</f>
        <v>15040</v>
      </c>
      <c r="D39" s="120">
        <f>D27+D38</f>
        <v>15731</v>
      </c>
      <c r="E39" s="120">
        <f>E27+E38</f>
        <v>16393</v>
      </c>
      <c r="F39" s="121">
        <f>F27+F38</f>
        <v>16046</v>
      </c>
      <c r="G39" s="120">
        <f>G27+G38</f>
        <v>16503.168455104471</v>
      </c>
      <c r="H39" s="120">
        <f t="shared" ref="H39:K39" si="21">H27+H38</f>
        <v>18104.739215495767</v>
      </c>
      <c r="I39" s="120">
        <f t="shared" si="21"/>
        <v>19857.121078677304</v>
      </c>
      <c r="J39" s="120">
        <f t="shared" si="21"/>
        <v>21780.692224759114</v>
      </c>
      <c r="K39" s="121">
        <f t="shared" si="21"/>
        <v>23903.592500663828</v>
      </c>
      <c r="L39" s="7"/>
      <c r="M39" s="117"/>
      <c r="N39" s="7"/>
    </row>
    <row r="40" spans="1:16">
      <c r="A40" s="6"/>
      <c r="C40" s="117"/>
      <c r="D40" s="117"/>
      <c r="E40" s="117"/>
      <c r="F40" s="117"/>
      <c r="G40" s="117"/>
      <c r="H40" s="117"/>
      <c r="I40" s="117"/>
      <c r="J40" s="117"/>
      <c r="K40" s="117"/>
      <c r="L40" s="7"/>
    </row>
    <row r="41" spans="1:16">
      <c r="A41" s="35" t="s">
        <v>89</v>
      </c>
      <c r="C41" s="7">
        <f>C39-C15</f>
        <v>0</v>
      </c>
      <c r="D41" s="7">
        <f t="shared" ref="D41:F41" si="22">D39-D15</f>
        <v>0</v>
      </c>
      <c r="E41" s="7">
        <f t="shared" si="22"/>
        <v>0</v>
      </c>
      <c r="F41" s="7">
        <f t="shared" si="22"/>
        <v>0</v>
      </c>
      <c r="G41" s="7">
        <f>G15-G39</f>
        <v>0</v>
      </c>
      <c r="H41" s="7">
        <f t="shared" ref="H41:K41" si="23">H15-H39</f>
        <v>0</v>
      </c>
      <c r="I41" s="7">
        <f t="shared" si="23"/>
        <v>0</v>
      </c>
      <c r="J41" s="7">
        <f t="shared" si="23"/>
        <v>0</v>
      </c>
      <c r="K41" s="7">
        <f t="shared" si="23"/>
        <v>0</v>
      </c>
      <c r="L41" s="7"/>
    </row>
    <row r="42" spans="1:16">
      <c r="C42" s="7"/>
      <c r="D42" s="7"/>
      <c r="E42" s="7"/>
      <c r="F42" s="7"/>
      <c r="G42" s="137" t="s">
        <v>90</v>
      </c>
      <c r="H42" s="123"/>
      <c r="I42" s="123"/>
      <c r="J42" s="123"/>
      <c r="K42" s="123"/>
      <c r="L42" s="7"/>
    </row>
    <row r="43" spans="1:16">
      <c r="A43" s="130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6">
      <c r="C44" s="7"/>
      <c r="D44" s="7"/>
      <c r="E44" s="329" t="s">
        <v>91</v>
      </c>
      <c r="F44" s="329"/>
      <c r="G44" s="329"/>
      <c r="H44" s="329"/>
      <c r="I44" s="7"/>
      <c r="J44" s="7"/>
      <c r="K44" s="7"/>
      <c r="L44" s="7"/>
    </row>
    <row r="45" spans="1:16"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6"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6">
      <c r="A47" s="6" t="s">
        <v>92</v>
      </c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6">
      <c r="A48" t="s">
        <v>93</v>
      </c>
      <c r="C48" s="7">
        <f>C6</f>
        <v>1297</v>
      </c>
      <c r="D48" s="7">
        <f t="shared" ref="D48:F48" si="24">D6</f>
        <v>1504</v>
      </c>
      <c r="E48" s="7">
        <f t="shared" si="24"/>
        <v>1586</v>
      </c>
      <c r="F48" s="7">
        <f t="shared" si="24"/>
        <v>1521</v>
      </c>
      <c r="G48" s="7">
        <f>'P&amp;L'!G8/'Balance Sheet'!G49</f>
        <v>1576.1915099216826</v>
      </c>
      <c r="H48" s="7">
        <f>'P&amp;L'!H8/'Balance Sheet'!H49</f>
        <v>1638.3712486132674</v>
      </c>
      <c r="I48" s="7">
        <f>'P&amp;L'!I8/'Balance Sheet'!I49</f>
        <v>1708.0890255945853</v>
      </c>
      <c r="J48" s="7">
        <f>'P&amp;L'!J8/'Balance Sheet'!J49</f>
        <v>1786.0517025007046</v>
      </c>
      <c r="K48" s="7">
        <f>'P&amp;L'!K8/'Balance Sheet'!K49</f>
        <v>1873.7634137730572</v>
      </c>
      <c r="L48" s="7"/>
    </row>
    <row r="49" spans="1:12">
      <c r="A49" t="s">
        <v>94</v>
      </c>
      <c r="C49" s="36">
        <f>'P&amp;L'!C8/'Balance Sheet'!C48</f>
        <v>13.431765612952969</v>
      </c>
      <c r="D49" s="36">
        <f>'P&amp;L'!D8/'Balance Sheet'!D48</f>
        <v>11.946143617021276</v>
      </c>
      <c r="E49" s="36">
        <f>'P&amp;L'!E8/'Balance Sheet'!E48</f>
        <v>12.26796973518285</v>
      </c>
      <c r="F49" s="36">
        <f>'P&amp;L'!F8/'Balance Sheet'!F48</f>
        <v>13.215647600262985</v>
      </c>
      <c r="G49" s="36">
        <f>365/G50</f>
        <v>13.672962146983414</v>
      </c>
      <c r="H49" s="36">
        <f t="shared" ref="H49:K49" si="25">365/H50</f>
        <v>14.163061007103474</v>
      </c>
      <c r="I49" s="36">
        <f t="shared" si="25"/>
        <v>14.689600644536357</v>
      </c>
      <c r="J49" s="36">
        <f t="shared" si="25"/>
        <v>15.256802263463227</v>
      </c>
      <c r="K49" s="36">
        <f t="shared" si="25"/>
        <v>15.869565217391305</v>
      </c>
      <c r="L49" s="7"/>
    </row>
    <row r="50" spans="1:12">
      <c r="A50" t="s">
        <v>95</v>
      </c>
      <c r="C50" s="7">
        <f>365/C49</f>
        <v>27.174387233798289</v>
      </c>
      <c r="D50" s="7">
        <f t="shared" ref="D50:F50" si="26">365/D49</f>
        <v>30.553793065063729</v>
      </c>
      <c r="E50" s="7">
        <f t="shared" si="26"/>
        <v>29.752274245772728</v>
      </c>
      <c r="F50" s="7">
        <f t="shared" si="26"/>
        <v>27.618775185314163</v>
      </c>
      <c r="G50" s="7">
        <f>F50-($F$50-$K$50)/5</f>
        <v>26.695020148251331</v>
      </c>
      <c r="H50" s="7">
        <f t="shared" ref="H50:J50" si="27">G50-($F$50-$K$50)/5</f>
        <v>25.771265111188498</v>
      </c>
      <c r="I50" s="7">
        <f t="shared" si="27"/>
        <v>24.847510074125665</v>
      </c>
      <c r="J50" s="7">
        <f t="shared" si="27"/>
        <v>23.923755037062833</v>
      </c>
      <c r="K50" s="7">
        <v>23</v>
      </c>
      <c r="L50" s="7"/>
    </row>
    <row r="51" spans="1:12"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>
      <c r="A52" t="s">
        <v>96</v>
      </c>
      <c r="C52" s="7">
        <f>C7</f>
        <v>1692</v>
      </c>
      <c r="D52" s="7">
        <f t="shared" ref="D52:F52" si="28">D7</f>
        <v>2074</v>
      </c>
      <c r="E52" s="7">
        <f t="shared" si="28"/>
        <v>1934</v>
      </c>
      <c r="F52" s="7">
        <f t="shared" si="28"/>
        <v>1987</v>
      </c>
      <c r="G52" s="7">
        <f>'P&amp;L'!G11/'Balance Sheet'!G53</f>
        <v>2231.8547533908368</v>
      </c>
      <c r="H52" s="7">
        <f>'P&amp;L'!H11/'Balance Sheet'!H53</f>
        <v>2403.0553624042027</v>
      </c>
      <c r="I52" s="7">
        <f>'P&amp;L'!I11/'Balance Sheet'!I53</f>
        <v>2598.4527491012586</v>
      </c>
      <c r="J52" s="7">
        <f>'P&amp;L'!J11/'Balance Sheet'!J53</f>
        <v>2821.9666481670592</v>
      </c>
      <c r="K52" s="7">
        <f>'P&amp;L'!K11/'Balance Sheet'!K53</f>
        <v>3079.4567982565895</v>
      </c>
      <c r="L52" s="7"/>
    </row>
    <row r="53" spans="1:12">
      <c r="A53" t="s">
        <v>97</v>
      </c>
      <c r="C53" s="7">
        <f>'P&amp;L'!C11/'Balance Sheet'!C52</f>
        <v>4.164302600472813</v>
      </c>
      <c r="D53" s="7">
        <f>'P&amp;L'!D11/'Balance Sheet'!D52</f>
        <v>3.7217936354869816</v>
      </c>
      <c r="E53" s="7">
        <f>'P&amp;L'!E11/'Balance Sheet'!E52</f>
        <v>4.2042399172699065</v>
      </c>
      <c r="F53" s="7">
        <f>'P&amp;L'!F11/'Balance Sheet'!F52</f>
        <v>3.995973829894313</v>
      </c>
      <c r="G53" s="7">
        <f>365/G54</f>
        <v>3.995973829894313</v>
      </c>
      <c r="H53" s="7">
        <f t="shared" ref="H53:K53" si="29">365/H54</f>
        <v>3.995973829894313</v>
      </c>
      <c r="I53" s="7">
        <f t="shared" si="29"/>
        <v>3.995973829894313</v>
      </c>
      <c r="J53" s="7">
        <f t="shared" si="29"/>
        <v>3.995973829894313</v>
      </c>
      <c r="K53" s="7">
        <f t="shared" si="29"/>
        <v>3.995973829894313</v>
      </c>
      <c r="L53" s="7"/>
    </row>
    <row r="54" spans="1:12">
      <c r="A54" t="s">
        <v>98</v>
      </c>
      <c r="C54" s="7">
        <f>365/C53</f>
        <v>87.649730343457293</v>
      </c>
      <c r="D54" s="7">
        <f t="shared" ref="D54:F54" si="30">365/D53</f>
        <v>98.070993652027468</v>
      </c>
      <c r="E54" s="7">
        <f t="shared" si="30"/>
        <v>86.817119665477804</v>
      </c>
      <c r="F54" s="7">
        <f t="shared" si="30"/>
        <v>91.341939546599491</v>
      </c>
      <c r="G54" s="7">
        <f>F54</f>
        <v>91.341939546599491</v>
      </c>
      <c r="H54" s="7">
        <f t="shared" ref="H54:K54" si="31">G54</f>
        <v>91.341939546599491</v>
      </c>
      <c r="I54" s="7">
        <f t="shared" si="31"/>
        <v>91.341939546599491</v>
      </c>
      <c r="J54" s="7">
        <f t="shared" si="31"/>
        <v>91.341939546599491</v>
      </c>
      <c r="K54" s="7">
        <f t="shared" si="31"/>
        <v>91.341939546599491</v>
      </c>
      <c r="L54" s="7"/>
    </row>
    <row r="55" spans="1:12"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>
      <c r="A56" t="s">
        <v>59</v>
      </c>
      <c r="C56" s="7">
        <f>C8</f>
        <v>576</v>
      </c>
      <c r="D56" s="7">
        <f t="shared" ref="D56:F56" si="32">D8</f>
        <v>760</v>
      </c>
      <c r="E56" s="7">
        <f t="shared" si="32"/>
        <v>793</v>
      </c>
      <c r="F56" s="7">
        <f t="shared" si="32"/>
        <v>713</v>
      </c>
      <c r="G56" s="7">
        <f>'P&amp;L'!G8*'Balance Sheet'!G57</f>
        <v>764.44010174415621</v>
      </c>
      <c r="H56" s="7">
        <f>'P&amp;L'!H8*'Balance Sheet'!H57</f>
        <v>823.07859995915226</v>
      </c>
      <c r="I56" s="7">
        <f>'P&amp;L'!I8*'Balance Sheet'!I57</f>
        <v>890.00481813724116</v>
      </c>
      <c r="J56" s="7">
        <f>'P&amp;L'!J8*'Balance Sheet'!J57</f>
        <v>966.56131783037881</v>
      </c>
      <c r="K56" s="7">
        <f>'P&amp;L'!K8*'Balance Sheet'!K57</f>
        <v>1054.7551378957337</v>
      </c>
      <c r="L56" s="7"/>
    </row>
    <row r="57" spans="1:12">
      <c r="A57" t="s">
        <v>99</v>
      </c>
      <c r="C57" s="37">
        <f>C56/'P&amp;L'!C8</f>
        <v>3.3063543998622352E-2</v>
      </c>
      <c r="D57" s="37">
        <f>D56/'P&amp;L'!D8</f>
        <v>4.2299771803862636E-2</v>
      </c>
      <c r="E57" s="37">
        <f>E56/'P&amp;L'!E8</f>
        <v>4.0756540062702372E-2</v>
      </c>
      <c r="F57" s="37">
        <f>F56/'P&amp;L'!F8</f>
        <v>3.5470872095915623E-2</v>
      </c>
      <c r="G57" s="38">
        <f>F57</f>
        <v>3.5470872095915623E-2</v>
      </c>
      <c r="H57" s="38">
        <f t="shared" ref="H57:K57" si="33">G57</f>
        <v>3.5470872095915623E-2</v>
      </c>
      <c r="I57" s="38">
        <f t="shared" si="33"/>
        <v>3.5470872095915623E-2</v>
      </c>
      <c r="J57" s="38">
        <f t="shared" si="33"/>
        <v>3.5470872095915623E-2</v>
      </c>
      <c r="K57" s="38">
        <f t="shared" si="33"/>
        <v>3.5470872095915623E-2</v>
      </c>
      <c r="L57" s="7"/>
    </row>
    <row r="58" spans="1:12">
      <c r="C58" s="7"/>
      <c r="D58" s="7"/>
      <c r="E58" s="7"/>
      <c r="F58" s="7"/>
      <c r="G58" s="7"/>
      <c r="H58" s="7"/>
      <c r="I58" s="7"/>
      <c r="J58" s="7"/>
      <c r="K58" s="7"/>
      <c r="L58" s="7"/>
    </row>
    <row r="59" spans="1:12">
      <c r="A59" s="6" t="s">
        <v>68</v>
      </c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>
      <c r="A60" t="s">
        <v>100</v>
      </c>
      <c r="C60" s="7">
        <f>C20</f>
        <v>1479</v>
      </c>
      <c r="D60" s="7">
        <f t="shared" ref="D60:F60" si="34">D20</f>
        <v>1551</v>
      </c>
      <c r="E60" s="7">
        <f t="shared" si="34"/>
        <v>1698</v>
      </c>
      <c r="F60" s="7">
        <f t="shared" si="34"/>
        <v>1805</v>
      </c>
      <c r="G60" s="7">
        <f>'P&amp;L'!G11/'Balance Sheet'!G61</f>
        <v>2051.8612552062946</v>
      </c>
      <c r="H60" s="7">
        <f>'P&amp;L'!H11/'Balance Sheet'!H61</f>
        <v>2235.5633098578123</v>
      </c>
      <c r="I60" s="7">
        <f>'P&amp;L'!I11/'Balance Sheet'!I61</f>
        <v>2445.789104398079</v>
      </c>
      <c r="J60" s="7">
        <f>'P&amp;L'!J11/'Balance Sheet'!J61</f>
        <v>2687.0657047858317</v>
      </c>
      <c r="K60" s="7">
        <f>'P&amp;L'!K11/'Balance Sheet'!K61</f>
        <v>2965.9603311968672</v>
      </c>
      <c r="L60" s="7"/>
    </row>
    <row r="61" spans="1:12">
      <c r="A61" t="s">
        <v>162</v>
      </c>
      <c r="C61" s="111">
        <f>'P&amp;L'!C11/'Balance Sheet'!C60</f>
        <v>4.7640297498309669</v>
      </c>
      <c r="D61" s="111">
        <f>'P&amp;L'!D11/'Balance Sheet'!D60</f>
        <v>4.9767891682785299</v>
      </c>
      <c r="E61" s="111">
        <f>'P&amp;L'!E11/'Balance Sheet'!E60</f>
        <v>4.7885747938751475</v>
      </c>
      <c r="F61" s="111">
        <f>'P&amp;L'!F11/'Balance Sheet'!F60</f>
        <v>4.3988919667590025</v>
      </c>
      <c r="G61" s="111">
        <f>365/G62</f>
        <v>4.3465088899387343</v>
      </c>
      <c r="H61" s="111">
        <f t="shared" ref="H61:K61" si="35">365/H62</f>
        <v>4.2953587123261272</v>
      </c>
      <c r="I61" s="111">
        <f t="shared" si="35"/>
        <v>4.2453984135238665</v>
      </c>
      <c r="J61" s="111">
        <f t="shared" si="35"/>
        <v>4.1965869516424483</v>
      </c>
      <c r="K61" s="111">
        <f t="shared" si="35"/>
        <v>4.1488851508535847</v>
      </c>
      <c r="L61" s="7"/>
    </row>
    <row r="62" spans="1:12">
      <c r="A62" t="s">
        <v>163</v>
      </c>
      <c r="C62" s="112">
        <f>365/C61</f>
        <v>76.615810388873115</v>
      </c>
      <c r="D62" s="112">
        <f t="shared" ref="D62:F62" si="36">365/D61</f>
        <v>73.340458608628069</v>
      </c>
      <c r="E62" s="112">
        <f t="shared" si="36"/>
        <v>76.223096790062712</v>
      </c>
      <c r="F62" s="112">
        <f t="shared" si="36"/>
        <v>82.975440806045341</v>
      </c>
      <c r="G62" s="129">
        <f>F62+1</f>
        <v>83.975440806045341</v>
      </c>
      <c r="H62" s="129">
        <f t="shared" ref="H62:K62" si="37">G62+1</f>
        <v>84.975440806045341</v>
      </c>
      <c r="I62" s="129">
        <f t="shared" si="37"/>
        <v>85.975440806045341</v>
      </c>
      <c r="J62" s="129">
        <f t="shared" si="37"/>
        <v>86.975440806045341</v>
      </c>
      <c r="K62" s="129">
        <f t="shared" si="37"/>
        <v>87.975440806045341</v>
      </c>
      <c r="L62" s="7"/>
    </row>
    <row r="63" spans="1:12"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t="s">
        <v>71</v>
      </c>
      <c r="C64" s="7">
        <f>C21</f>
        <v>436</v>
      </c>
      <c r="D64" s="7">
        <f t="shared" ref="D64:F64" si="38">D21</f>
        <v>317</v>
      </c>
      <c r="E64" s="7">
        <f t="shared" si="38"/>
        <v>336</v>
      </c>
      <c r="F64" s="7">
        <f t="shared" si="38"/>
        <v>403</v>
      </c>
      <c r="G64" s="7">
        <f>'P&amp;L'!G43*'Balance Sheet'!G65</f>
        <v>339.32435245852605</v>
      </c>
      <c r="H64" s="7">
        <f>'P&amp;L'!H43*'Balance Sheet'!H65</f>
        <v>371.97751718881148</v>
      </c>
      <c r="I64" s="7">
        <f>'P&amp;L'!I43*'Balance Sheet'!I65</f>
        <v>407.21490049497999</v>
      </c>
      <c r="J64" s="7">
        <f>'P&amp;L'!J43*'Balance Sheet'!J65</f>
        <v>447.38498250316616</v>
      </c>
      <c r="K64" s="7">
        <f>'P&amp;L'!K43*'Balance Sheet'!K65</f>
        <v>493.5488628078574</v>
      </c>
      <c r="L64" s="7"/>
    </row>
    <row r="65" spans="1:12">
      <c r="A65" t="s">
        <v>101</v>
      </c>
      <c r="C65" s="37">
        <f>C64/'P&amp;L'!C43</f>
        <v>0.53431372549019607</v>
      </c>
      <c r="D65" s="37">
        <f>D64/'P&amp;L'!D43</f>
        <v>0.39232673267326734</v>
      </c>
      <c r="E65" s="37">
        <f>E64/'P&amp;L'!E43</f>
        <v>0.38268792710706151</v>
      </c>
      <c r="F65" s="37">
        <f>F64/'P&amp;L'!F43</f>
        <v>0.4385201305767138</v>
      </c>
      <c r="G65" s="38">
        <f>AVERAGE($E$65:$F$65)</f>
        <v>0.41060402884188762</v>
      </c>
      <c r="H65" s="38">
        <f t="shared" ref="H65:K65" si="39">AVERAGE($E$65:$F$65)</f>
        <v>0.41060402884188762</v>
      </c>
      <c r="I65" s="38">
        <f t="shared" si="39"/>
        <v>0.41060402884188762</v>
      </c>
      <c r="J65" s="38">
        <f t="shared" si="39"/>
        <v>0.41060402884188762</v>
      </c>
      <c r="K65" s="38">
        <f t="shared" si="39"/>
        <v>0.41060402884188762</v>
      </c>
      <c r="L65" s="7"/>
    </row>
    <row r="66" spans="1:12">
      <c r="C66" s="37"/>
      <c r="D66" s="37"/>
      <c r="E66" s="37"/>
      <c r="F66" s="37"/>
      <c r="G66" s="38"/>
      <c r="H66" s="38"/>
      <c r="I66" s="38"/>
      <c r="J66" s="38"/>
      <c r="K66" s="38"/>
      <c r="L66" s="7"/>
    </row>
    <row r="67" spans="1:12">
      <c r="A67" t="s">
        <v>154</v>
      </c>
      <c r="C67" s="37">
        <f>C26/'P&amp;L'!C8</f>
        <v>0.13942942425807933</v>
      </c>
      <c r="D67" s="37">
        <f>D26/'P&amp;L'!D8</f>
        <v>0.10001669727834363</v>
      </c>
      <c r="E67" s="37">
        <f>E26/'P&amp;L'!E8</f>
        <v>0.10870123862877114</v>
      </c>
      <c r="F67" s="37">
        <f>F26/'P&amp;L'!F8</f>
        <v>0.1050196507636436</v>
      </c>
      <c r="G67" s="38">
        <f>F67</f>
        <v>0.1050196507636436</v>
      </c>
      <c r="H67" s="38">
        <f t="shared" ref="H67:K67" si="40">G67</f>
        <v>0.1050196507636436</v>
      </c>
      <c r="I67" s="38">
        <f t="shared" si="40"/>
        <v>0.1050196507636436</v>
      </c>
      <c r="J67" s="38">
        <f t="shared" si="40"/>
        <v>0.1050196507636436</v>
      </c>
      <c r="K67" s="38">
        <f t="shared" si="40"/>
        <v>0.1050196507636436</v>
      </c>
      <c r="L67" s="7"/>
    </row>
    <row r="68" spans="1:12">
      <c r="A68" t="s">
        <v>154</v>
      </c>
      <c r="C68" s="127">
        <f>C26</f>
        <v>2429</v>
      </c>
      <c r="D68" s="127">
        <f t="shared" ref="D68:F68" si="41">D26</f>
        <v>1797</v>
      </c>
      <c r="E68" s="127">
        <f t="shared" si="41"/>
        <v>2115</v>
      </c>
      <c r="F68" s="127">
        <f t="shared" si="41"/>
        <v>2111</v>
      </c>
      <c r="G68" s="112">
        <f>'P&amp;L'!G8*'Balance Sheet'!G67</f>
        <v>2263.3002170854329</v>
      </c>
      <c r="H68" s="112">
        <f>'P&amp;L'!H8*'Balance Sheet'!H67</f>
        <v>2436.9129376069714</v>
      </c>
      <c r="I68" s="112">
        <f>'P&amp;L'!I8*'Balance Sheet'!I67</f>
        <v>2635.0633535592092</v>
      </c>
      <c r="J68" s="112">
        <f>'P&amp;L'!J8*'Balance Sheet'!J67</f>
        <v>2861.7264262832114</v>
      </c>
      <c r="K68" s="112">
        <f>'P&amp;L'!K8*'Balance Sheet'!K67</f>
        <v>3122.8444545552511</v>
      </c>
      <c r="L68" s="7"/>
    </row>
    <row r="69" spans="1:12"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>
      <c r="A70" t="s">
        <v>102</v>
      </c>
      <c r="C70" s="7">
        <f>C22</f>
        <v>2085</v>
      </c>
      <c r="D70" s="7">
        <f>D22</f>
        <v>2111</v>
      </c>
      <c r="E70" s="7">
        <f>E22</f>
        <v>2377</v>
      </c>
      <c r="F70" s="7">
        <f>F22</f>
        <v>2891</v>
      </c>
      <c r="G70" s="7">
        <f>'P&amp;L'!G11*'Balance Sheet'!G71</f>
        <v>3247.2531917729789</v>
      </c>
      <c r="H70" s="7">
        <f>'P&amp;L'!H11*'Balance Sheet'!H71</f>
        <v>3496.3427542579516</v>
      </c>
      <c r="I70" s="7">
        <f>'P&amp;L'!I11*'Balance Sheet'!I71</f>
        <v>3780.6375931815496</v>
      </c>
      <c r="J70" s="7">
        <f>'P&amp;L'!J11*'Balance Sheet'!J71</f>
        <v>4105.840754831891</v>
      </c>
      <c r="K70" s="7">
        <f>'P&amp;L'!K11*'Balance Sheet'!K71</f>
        <v>4480.4779082837449</v>
      </c>
    </row>
    <row r="71" spans="1:12">
      <c r="A71" t="s">
        <v>103</v>
      </c>
      <c r="C71" s="37">
        <f>C70/'P&amp;L'!C11</f>
        <v>0.29591257451036052</v>
      </c>
      <c r="D71" s="37">
        <f>D70/'P&amp;L'!D11</f>
        <v>0.27348102085762405</v>
      </c>
      <c r="E71" s="37">
        <f>E70/'P&amp;L'!E11</f>
        <v>0.29233796580986349</v>
      </c>
      <c r="F71" s="37">
        <f>F70/'P&amp;L'!F11</f>
        <v>0.36410579345088162</v>
      </c>
      <c r="G71" s="38">
        <f>F71</f>
        <v>0.36410579345088162</v>
      </c>
      <c r="H71" s="38">
        <f t="shared" ref="H71:K71" si="42">G71</f>
        <v>0.36410579345088162</v>
      </c>
      <c r="I71" s="38">
        <f t="shared" si="42"/>
        <v>0.36410579345088162</v>
      </c>
      <c r="J71" s="38">
        <f t="shared" si="42"/>
        <v>0.36410579345088162</v>
      </c>
      <c r="K71" s="38">
        <f t="shared" si="42"/>
        <v>0.36410579345088162</v>
      </c>
    </row>
    <row r="72" spans="1:12">
      <c r="C72" s="37"/>
      <c r="D72" s="37"/>
      <c r="E72" s="37"/>
      <c r="F72" s="37"/>
      <c r="G72" s="38"/>
      <c r="H72" s="38"/>
      <c r="I72" s="38"/>
      <c r="J72" s="38"/>
      <c r="K72" s="38"/>
    </row>
    <row r="73" spans="1:12">
      <c r="A73" s="100" t="s">
        <v>132</v>
      </c>
      <c r="C73" s="111">
        <f>(C18+C24)/'P&amp;L'!C77</f>
        <v>1.8658726048679442</v>
      </c>
      <c r="D73" s="111">
        <f>(D18+D24)/'P&amp;L'!D77</f>
        <v>2.0716990061523899</v>
      </c>
      <c r="E73" s="111">
        <f>(E18+E24)/'P&amp;L'!E77</f>
        <v>1.7996941896024465</v>
      </c>
      <c r="F73" s="111">
        <f>(F18+F24)/'P&amp;L'!F77</f>
        <v>1.6016538926986688</v>
      </c>
      <c r="G73" s="39">
        <f>F73-($F$73-$K$73)/5</f>
        <v>1.521323114158935</v>
      </c>
      <c r="H73" s="39">
        <f t="shared" ref="H73:J73" si="43">G73-($F$73-$K$73)/5</f>
        <v>1.4409923356192011</v>
      </c>
      <c r="I73" s="39">
        <f t="shared" si="43"/>
        <v>1.3606615570794673</v>
      </c>
      <c r="J73" s="39">
        <f t="shared" si="43"/>
        <v>1.2803307785397335</v>
      </c>
      <c r="K73" s="39">
        <v>1.2</v>
      </c>
    </row>
    <row r="74" spans="1:12">
      <c r="A74" s="130" t="s">
        <v>156</v>
      </c>
      <c r="C74">
        <v>39</v>
      </c>
      <c r="D74">
        <v>11</v>
      </c>
      <c r="E74">
        <v>310</v>
      </c>
      <c r="F74">
        <v>8</v>
      </c>
      <c r="G74" s="7">
        <f>G19</f>
        <v>131.52288482674493</v>
      </c>
      <c r="H74" s="7">
        <f t="shared" ref="H74:K74" si="44">H19</f>
        <v>134.13415627234778</v>
      </c>
      <c r="I74" s="7">
        <f t="shared" si="44"/>
        <v>136.95530937276047</v>
      </c>
      <c r="J74" s="7">
        <f t="shared" si="44"/>
        <v>139.95486417718476</v>
      </c>
      <c r="K74" s="7">
        <f t="shared" si="44"/>
        <v>143.14273020302721</v>
      </c>
    </row>
    <row r="75" spans="1:12">
      <c r="A75" s="130" t="s">
        <v>157</v>
      </c>
      <c r="C75">
        <v>12</v>
      </c>
      <c r="D75">
        <v>14</v>
      </c>
      <c r="E75">
        <v>20</v>
      </c>
      <c r="F75">
        <v>642</v>
      </c>
      <c r="G75" s="7">
        <f>G18</f>
        <v>1035</v>
      </c>
      <c r="H75" s="7">
        <f t="shared" ref="H75:K75" si="45">H18</f>
        <v>509</v>
      </c>
      <c r="I75" s="7">
        <f t="shared" si="45"/>
        <v>612</v>
      </c>
      <c r="J75" s="7">
        <f t="shared" si="45"/>
        <v>519</v>
      </c>
      <c r="K75" s="7">
        <f t="shared" si="45"/>
        <v>0</v>
      </c>
    </row>
    <row r="76" spans="1:12">
      <c r="A76" s="128"/>
      <c r="C76" s="7"/>
      <c r="D76" s="7"/>
      <c r="E76" s="7"/>
      <c r="F76" s="7"/>
      <c r="G76" s="7"/>
      <c r="H76" s="7"/>
      <c r="I76" s="7"/>
      <c r="J76" s="7"/>
      <c r="K76" s="7"/>
    </row>
    <row r="77" spans="1:12">
      <c r="A77" s="130" t="s">
        <v>158</v>
      </c>
      <c r="C77" s="134">
        <f>C74/SUM(C75,C24)</f>
        <v>5.4121565362198172E-3</v>
      </c>
      <c r="D77" s="134">
        <f t="shared" ref="D77:F77" si="46">D74/SUM(D75,D24)</f>
        <v>1.2564249000571101E-3</v>
      </c>
      <c r="E77" s="134">
        <f t="shared" si="46"/>
        <v>3.7625925476392763E-2</v>
      </c>
      <c r="F77" s="134">
        <f t="shared" si="46"/>
        <v>1.0087000378262514E-3</v>
      </c>
      <c r="G77" s="135">
        <f>AVERAGE($E$77:$F$77)</f>
        <v>1.9317312757109507E-2</v>
      </c>
      <c r="H77" s="135">
        <f t="shared" ref="H77:K77" si="47">AVERAGE($E$77:$F$77)</f>
        <v>1.9317312757109507E-2</v>
      </c>
      <c r="I77" s="135">
        <f t="shared" si="47"/>
        <v>1.9317312757109507E-2</v>
      </c>
      <c r="J77" s="135">
        <f t="shared" si="47"/>
        <v>1.9317312757109507E-2</v>
      </c>
      <c r="K77" s="135">
        <f t="shared" si="47"/>
        <v>1.9317312757109507E-2</v>
      </c>
    </row>
    <row r="79" spans="1:12">
      <c r="A79" s="128"/>
      <c r="C79" s="7"/>
      <c r="D79" s="7"/>
      <c r="E79" s="7"/>
      <c r="F79" s="7"/>
      <c r="G79" s="7"/>
      <c r="H79" s="7"/>
      <c r="I79" s="7"/>
      <c r="J79" s="7"/>
      <c r="K79" s="7"/>
    </row>
    <row r="80" spans="1:12" s="265" customFormat="1">
      <c r="A80" s="270"/>
      <c r="C80" s="271"/>
      <c r="D80" s="271"/>
      <c r="E80" s="271"/>
      <c r="F80" s="271"/>
      <c r="G80" s="271"/>
      <c r="H80" s="271"/>
      <c r="I80" s="271"/>
      <c r="J80" s="271"/>
      <c r="K80" s="271"/>
    </row>
    <row r="81" spans="1:11">
      <c r="A81" s="128"/>
      <c r="C81" s="129"/>
      <c r="D81" s="129"/>
      <c r="E81" s="129"/>
      <c r="F81" s="129"/>
      <c r="G81" s="129"/>
      <c r="H81" s="129"/>
      <c r="I81" s="129"/>
      <c r="J81" s="129"/>
      <c r="K81" s="129"/>
    </row>
  </sheetData>
  <mergeCells count="4">
    <mergeCell ref="C1:F1"/>
    <mergeCell ref="G1:K1"/>
    <mergeCell ref="E44:H44"/>
    <mergeCell ref="A1:A2"/>
  </mergeCells>
  <pageMargins left="0.7" right="0.7" top="0.75" bottom="0.75" header="0.3" footer="0.3"/>
  <ignoredErrors>
    <ignoredError sqref="G32:K32 G12:K12" formula="1"/>
    <ignoredError sqref="K18 K24" emptyCellReferenc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showGridLines="0" topLeftCell="A23" workbookViewId="0">
      <selection activeCell="A37" sqref="A37:XFD37"/>
    </sheetView>
  </sheetViews>
  <sheetFormatPr defaultColWidth="9" defaultRowHeight="15"/>
  <cols>
    <col min="1" max="1" width="34.85546875" customWidth="1"/>
    <col min="2" max="2" width="14.42578125" customWidth="1"/>
    <col min="3" max="3" width="14.28515625" customWidth="1"/>
    <col min="4" max="4" width="13" customWidth="1"/>
    <col min="5" max="5" width="11.42578125" customWidth="1"/>
    <col min="6" max="6" width="11.5703125" customWidth="1"/>
  </cols>
  <sheetData>
    <row r="1" spans="1:12">
      <c r="A1" s="318" t="s">
        <v>0</v>
      </c>
      <c r="B1" s="107"/>
      <c r="C1" s="310" t="s">
        <v>2</v>
      </c>
      <c r="D1" s="311"/>
      <c r="E1" s="311"/>
      <c r="F1" s="311"/>
      <c r="G1" s="312"/>
      <c r="H1" s="18"/>
      <c r="I1" s="18"/>
      <c r="J1" s="18"/>
      <c r="K1" s="18"/>
    </row>
    <row r="2" spans="1:12" ht="15.75" thickBot="1">
      <c r="A2" s="318"/>
      <c r="B2" s="107" t="s">
        <v>3</v>
      </c>
      <c r="C2" s="108">
        <v>2025</v>
      </c>
      <c r="D2" s="109">
        <f>C2+1</f>
        <v>2026</v>
      </c>
      <c r="E2" s="109">
        <f t="shared" ref="E2:G2" si="0">D2+1</f>
        <v>2027</v>
      </c>
      <c r="F2" s="109">
        <f t="shared" si="0"/>
        <v>2028</v>
      </c>
      <c r="G2" s="110">
        <f t="shared" si="0"/>
        <v>2029</v>
      </c>
      <c r="H2" s="19"/>
      <c r="I2" s="19"/>
      <c r="J2" s="19"/>
      <c r="K2" s="19"/>
    </row>
    <row r="3" spans="1:12">
      <c r="A3" s="6" t="s">
        <v>104</v>
      </c>
      <c r="B3" s="16"/>
      <c r="G3" s="273"/>
    </row>
    <row r="4" spans="1:12">
      <c r="A4" t="s">
        <v>105</v>
      </c>
      <c r="B4" s="16"/>
      <c r="C4" s="20">
        <f>'P&amp;L'!G47</f>
        <v>2730.4748901978514</v>
      </c>
      <c r="D4" s="20">
        <f>'P&amp;L'!H47</f>
        <v>2993.2283463985405</v>
      </c>
      <c r="E4" s="20">
        <f>'P&amp;L'!I47</f>
        <v>3276.7764902811114</v>
      </c>
      <c r="F4" s="20">
        <f>'P&amp;L'!J47</f>
        <v>3600.0170695847937</v>
      </c>
      <c r="G4" s="274">
        <f>'P&amp;L'!K47</f>
        <v>3971.4885395597194</v>
      </c>
    </row>
    <row r="5" spans="1:12">
      <c r="A5" s="116" t="s">
        <v>133</v>
      </c>
      <c r="B5" s="16"/>
      <c r="C5" s="20"/>
      <c r="D5" s="20"/>
      <c r="E5" s="20"/>
      <c r="F5" s="20"/>
      <c r="G5" s="16"/>
    </row>
    <row r="6" spans="1:12">
      <c r="A6" t="s">
        <v>106</v>
      </c>
      <c r="B6" s="16"/>
      <c r="C6" s="7">
        <f>Capex!G13</f>
        <v>608.19946895024066</v>
      </c>
      <c r="D6" s="7">
        <f>Capex!H13</f>
        <v>622.28737364964309</v>
      </c>
      <c r="E6" s="7">
        <f>Capex!I13</f>
        <v>640.44046486312811</v>
      </c>
      <c r="F6" s="7">
        <f>Capex!J13</f>
        <v>662.96098567239312</v>
      </c>
      <c r="G6" s="10">
        <f>Capex!K13</f>
        <v>690.49351908054314</v>
      </c>
    </row>
    <row r="7" spans="1:12">
      <c r="A7" s="119" t="s">
        <v>149</v>
      </c>
      <c r="B7" s="16"/>
      <c r="C7" s="7">
        <f>-'P&amp;L'!G22</f>
        <v>-134.92957751604024</v>
      </c>
      <c r="D7" s="7">
        <f>-'P&amp;L'!H22</f>
        <v>-145.27972499296121</v>
      </c>
      <c r="E7" s="7">
        <f>-'P&amp;L'!I22</f>
        <v>-157.09271900375703</v>
      </c>
      <c r="F7" s="7">
        <f>-'P&amp;L'!J22</f>
        <v>-170.60553202355214</v>
      </c>
      <c r="G7" s="10">
        <f>-'P&amp;L'!K22</f>
        <v>-186.17242189993738</v>
      </c>
    </row>
    <row r="8" spans="1:12">
      <c r="A8" s="130" t="s">
        <v>161</v>
      </c>
      <c r="B8" s="16"/>
      <c r="C8" s="7">
        <f>'P&amp;L'!G34</f>
        <v>223.33608943205877</v>
      </c>
      <c r="D8" s="7">
        <f>'P&amp;L'!H34</f>
        <v>210.26901462922544</v>
      </c>
      <c r="E8" s="7">
        <f>'P&amp;L'!I34</f>
        <v>214.56880864790622</v>
      </c>
      <c r="F8" s="7">
        <f>'P&amp;L'!J34</f>
        <v>219.17593108867032</v>
      </c>
      <c r="G8" s="10">
        <f>'P&amp;L'!K34</f>
        <v>224.07330883440542</v>
      </c>
    </row>
    <row r="9" spans="1:12">
      <c r="A9" s="103" t="s">
        <v>151</v>
      </c>
      <c r="B9" s="16"/>
      <c r="C9" s="7">
        <f>C4+SUM(C6:C8)</f>
        <v>3427.0808710641104</v>
      </c>
      <c r="D9" s="7">
        <f>D4+SUM(D6:D8)</f>
        <v>3680.5050096844479</v>
      </c>
      <c r="E9" s="7">
        <f>E4+SUM(E6:E8)</f>
        <v>3974.6930447883888</v>
      </c>
      <c r="F9" s="7">
        <f>F4+SUM(F6:F8)</f>
        <v>4311.5484543223047</v>
      </c>
      <c r="G9" s="10">
        <f>G4+SUM(G6:G8)</f>
        <v>4699.8829455747309</v>
      </c>
    </row>
    <row r="10" spans="1:12">
      <c r="A10" s="116" t="s">
        <v>134</v>
      </c>
      <c r="B10" s="16"/>
      <c r="G10" s="16"/>
    </row>
    <row r="11" spans="1:12">
      <c r="A11" s="100" t="s">
        <v>93</v>
      </c>
      <c r="B11" s="16"/>
      <c r="C11" s="7">
        <f>-('Balance Sheet'!G6-'Balance Sheet'!F6)</f>
        <v>-55.191509921682609</v>
      </c>
      <c r="D11" s="7">
        <f>-('Balance Sheet'!H6-'Balance Sheet'!G6)</f>
        <v>-62.179738691584816</v>
      </c>
      <c r="E11" s="7">
        <f>-('Balance Sheet'!I6-'Balance Sheet'!H6)</f>
        <v>-69.717776981317911</v>
      </c>
      <c r="F11" s="7">
        <f>-('Balance Sheet'!J6-'Balance Sheet'!I6)</f>
        <v>-77.962676906119214</v>
      </c>
      <c r="G11" s="10">
        <f>-('Balance Sheet'!K6-'Balance Sheet'!J6)</f>
        <v>-87.711711272352659</v>
      </c>
    </row>
    <row r="12" spans="1:12">
      <c r="A12" s="100" t="s">
        <v>58</v>
      </c>
      <c r="B12" s="16"/>
      <c r="C12" s="7">
        <f>-('Balance Sheet'!G7-'Balance Sheet'!F7)</f>
        <v>-244.85475339083678</v>
      </c>
      <c r="D12" s="7">
        <f>-('Balance Sheet'!H7-'Balance Sheet'!G7)</f>
        <v>-171.20060901336592</v>
      </c>
      <c r="E12" s="7">
        <f>-('Balance Sheet'!I7-'Balance Sheet'!H7)</f>
        <v>-195.39738669705594</v>
      </c>
      <c r="F12" s="7">
        <f>-('Balance Sheet'!J7-'Balance Sheet'!I7)</f>
        <v>-223.51389906580062</v>
      </c>
      <c r="G12" s="10">
        <f>-('Balance Sheet'!K7-'Balance Sheet'!J7)</f>
        <v>-257.49015008953029</v>
      </c>
    </row>
    <row r="13" spans="1:12">
      <c r="A13" s="119" t="s">
        <v>59</v>
      </c>
      <c r="B13" s="16"/>
      <c r="C13" s="7">
        <f>-('Balance Sheet'!G8-'Balance Sheet'!F8)</f>
        <v>-51.440101744156209</v>
      </c>
      <c r="D13" s="7">
        <f>-('Balance Sheet'!H8-'Balance Sheet'!G8)</f>
        <v>-58.638498214996048</v>
      </c>
      <c r="E13" s="7">
        <f>-('Balance Sheet'!I8-'Balance Sheet'!H8)</f>
        <v>-66.926218178088902</v>
      </c>
      <c r="F13" s="7">
        <f>-('Balance Sheet'!J8-'Balance Sheet'!I8)</f>
        <v>-76.556499693137653</v>
      </c>
      <c r="G13" s="10">
        <f>-('Balance Sheet'!K8-'Balance Sheet'!J8)</f>
        <v>-88.193820065354885</v>
      </c>
    </row>
    <row r="14" spans="1:12">
      <c r="A14" s="124" t="s">
        <v>153</v>
      </c>
      <c r="B14" s="16"/>
      <c r="C14" s="7">
        <f>'Balance Sheet'!G21-'Balance Sheet'!F21</f>
        <v>-63.67564754147395</v>
      </c>
      <c r="D14" s="7">
        <f>'Balance Sheet'!H21-'Balance Sheet'!G21</f>
        <v>32.653164730285425</v>
      </c>
      <c r="E14" s="7">
        <f>'Balance Sheet'!I21-'Balance Sheet'!H21</f>
        <v>35.23738330616851</v>
      </c>
      <c r="F14" s="7">
        <f>'Balance Sheet'!J21-'Balance Sheet'!I21</f>
        <v>40.170082008186171</v>
      </c>
      <c r="G14" s="10">
        <f>'Balance Sheet'!K21-'Balance Sheet'!J21</f>
        <v>46.163880304691247</v>
      </c>
      <c r="L14" s="7">
        <f>C4-2141</f>
        <v>589.47489019785144</v>
      </c>
    </row>
    <row r="15" spans="1:12">
      <c r="A15" s="100" t="s">
        <v>142</v>
      </c>
      <c r="B15" s="16"/>
      <c r="C15" s="118">
        <f>+('Balance Sheet'!G20-'Balance Sheet'!F20)</f>
        <v>246.86125520629457</v>
      </c>
      <c r="D15" s="118">
        <f>+('Balance Sheet'!H20-'Balance Sheet'!G20)</f>
        <v>183.70205465151776</v>
      </c>
      <c r="E15" s="118">
        <f>+('Balance Sheet'!I20-'Balance Sheet'!H20)</f>
        <v>210.22579454026663</v>
      </c>
      <c r="F15" s="118">
        <f>+('Balance Sheet'!J20-'Balance Sheet'!I20)</f>
        <v>241.27660038775275</v>
      </c>
      <c r="G15" s="275">
        <f>+('Balance Sheet'!K20-'Balance Sheet'!J20)</f>
        <v>278.89462641103546</v>
      </c>
    </row>
    <row r="16" spans="1:12">
      <c r="A16" s="100" t="s">
        <v>143</v>
      </c>
      <c r="B16" s="16"/>
      <c r="C16" s="7">
        <f>+('Balance Sheet'!G22-'Balance Sheet'!F22)</f>
        <v>356.25319177297888</v>
      </c>
      <c r="D16" s="7">
        <f>+('Balance Sheet'!H22-'Balance Sheet'!G22)</f>
        <v>249.0895624849727</v>
      </c>
      <c r="E16" s="7">
        <f>+('Balance Sheet'!I22-'Balance Sheet'!H22)</f>
        <v>284.29483892359804</v>
      </c>
      <c r="F16" s="7">
        <f>+('Balance Sheet'!J22-'Balance Sheet'!I22)</f>
        <v>325.20316165034137</v>
      </c>
      <c r="G16" s="10">
        <f>+('Balance Sheet'!K22-'Balance Sheet'!J22)</f>
        <v>374.63715345185392</v>
      </c>
    </row>
    <row r="17" spans="1:7">
      <c r="A17" s="131" t="s">
        <v>135</v>
      </c>
      <c r="B17" s="277"/>
      <c r="C17" s="120">
        <f>C9+SUM(C11:C16)</f>
        <v>3615.0333054452344</v>
      </c>
      <c r="D17" s="120">
        <f t="shared" ref="D17:G17" si="1">D9+SUM(D11:D16)</f>
        <v>3853.9309456312772</v>
      </c>
      <c r="E17" s="120">
        <f t="shared" si="1"/>
        <v>4172.4096797019592</v>
      </c>
      <c r="F17" s="120">
        <f t="shared" si="1"/>
        <v>4540.1652227035274</v>
      </c>
      <c r="G17" s="121">
        <f t="shared" si="1"/>
        <v>4966.1829243150733</v>
      </c>
    </row>
    <row r="18" spans="1:7">
      <c r="B18" s="16"/>
      <c r="G18" s="16"/>
    </row>
    <row r="19" spans="1:7">
      <c r="A19" s="103" t="s">
        <v>136</v>
      </c>
      <c r="B19" s="272"/>
      <c r="G19" s="16"/>
    </row>
    <row r="20" spans="1:7">
      <c r="A20" s="100" t="s">
        <v>137</v>
      </c>
      <c r="B20" s="16"/>
      <c r="C20" s="7">
        <f>-Capex!G5</f>
        <v>-194.88683407374992</v>
      </c>
      <c r="D20" s="7">
        <f>-Capex!H5</f>
        <v>-269.18530356763767</v>
      </c>
      <c r="E20" s="7">
        <f>-Capex!I5</f>
        <v>-346.86104663955302</v>
      </c>
      <c r="F20" s="7">
        <f>-Capex!J5</f>
        <v>-430.31191365174891</v>
      </c>
      <c r="G20" s="10">
        <f>-Capex!K5</f>
        <v>-526.07918080063064</v>
      </c>
    </row>
    <row r="21" spans="1:7">
      <c r="A21" s="119" t="s">
        <v>150</v>
      </c>
      <c r="B21" s="16"/>
      <c r="C21" s="7">
        <f>+'P&amp;L'!G22</f>
        <v>134.92957751604024</v>
      </c>
      <c r="D21" s="7">
        <f>+'P&amp;L'!H22</f>
        <v>145.27972499296121</v>
      </c>
      <c r="E21" s="7">
        <f>+'P&amp;L'!I22</f>
        <v>157.09271900375703</v>
      </c>
      <c r="F21" s="7">
        <f>+'P&amp;L'!J22</f>
        <v>170.60553202355214</v>
      </c>
      <c r="G21" s="10">
        <f>+'P&amp;L'!K22</f>
        <v>186.17242189993738</v>
      </c>
    </row>
    <row r="22" spans="1:7">
      <c r="A22" s="131" t="s">
        <v>138</v>
      </c>
      <c r="B22" s="277"/>
      <c r="C22" s="120">
        <f>SUM(C20:C21)</f>
        <v>-59.957256557709684</v>
      </c>
      <c r="D22" s="120">
        <f t="shared" ref="D22:G22" si="2">SUM(D20:D21)</f>
        <v>-123.90557857467647</v>
      </c>
      <c r="E22" s="120">
        <f t="shared" si="2"/>
        <v>-189.768327635796</v>
      </c>
      <c r="F22" s="120">
        <f t="shared" si="2"/>
        <v>-259.70638162819677</v>
      </c>
      <c r="G22" s="121">
        <f t="shared" si="2"/>
        <v>-339.90675890069326</v>
      </c>
    </row>
    <row r="23" spans="1:7">
      <c r="B23" s="16"/>
      <c r="G23" s="16"/>
    </row>
    <row r="24" spans="1:7">
      <c r="A24" s="103" t="s">
        <v>139</v>
      </c>
      <c r="B24" s="16"/>
      <c r="C24" s="112"/>
      <c r="D24" s="112"/>
      <c r="E24" s="112"/>
      <c r="F24" s="112"/>
      <c r="G24" s="276"/>
    </row>
    <row r="25" spans="1:7">
      <c r="A25" s="119" t="s">
        <v>144</v>
      </c>
      <c r="B25" s="16"/>
      <c r="C25" s="112">
        <f>Debt!C6+Debt!C18</f>
        <v>-356.92737119608165</v>
      </c>
      <c r="D25" s="112">
        <f>Debt!D6+Debt!D18</f>
        <v>1172.7890510071936</v>
      </c>
      <c r="E25" s="112">
        <f>Debt!E6+Debt!E18</f>
        <v>657.86388357152373</v>
      </c>
      <c r="F25" s="112">
        <f>Debt!F6+Debt!F18</f>
        <v>770.27761247941532</v>
      </c>
      <c r="G25" s="276">
        <f>Debt!G6+Debt!G18</f>
        <v>687.21423723625855</v>
      </c>
    </row>
    <row r="26" spans="1:7">
      <c r="A26" s="119" t="s">
        <v>145</v>
      </c>
      <c r="B26" s="16"/>
      <c r="C26" s="112">
        <f>-Debt!C7</f>
        <v>-652</v>
      </c>
      <c r="D26" s="112">
        <f>-Debt!D7</f>
        <v>-1035</v>
      </c>
      <c r="E26" s="112">
        <f>-Debt!E7</f>
        <v>-509</v>
      </c>
      <c r="F26" s="112">
        <f>-Debt!F7</f>
        <v>-612</v>
      </c>
      <c r="G26" s="276">
        <f>-Debt!G7</f>
        <v>-519</v>
      </c>
    </row>
    <row r="27" spans="1:7">
      <c r="A27" s="119" t="s">
        <v>146</v>
      </c>
      <c r="B27" s="16"/>
      <c r="C27" s="7">
        <f>-C8</f>
        <v>-223.33608943205877</v>
      </c>
      <c r="D27" s="7">
        <f t="shared" ref="D27:G27" si="3">-D8</f>
        <v>-210.26901462922544</v>
      </c>
      <c r="E27" s="7">
        <f t="shared" si="3"/>
        <v>-214.56880864790622</v>
      </c>
      <c r="F27" s="7">
        <f t="shared" si="3"/>
        <v>-219.17593108867032</v>
      </c>
      <c r="G27" s="10">
        <f t="shared" si="3"/>
        <v>-224.07330883440542</v>
      </c>
    </row>
    <row r="28" spans="1:7">
      <c r="A28" s="100" t="s">
        <v>140</v>
      </c>
      <c r="B28" s="16"/>
      <c r="C28" s="7">
        <f>-'P&amp;L'!G75</f>
        <v>-1803.8178633350999</v>
      </c>
      <c r="D28" s="7">
        <f>-'P&amp;L'!H75</f>
        <v>-1994.8914188812118</v>
      </c>
      <c r="E28" s="7">
        <f>-'P&amp;L'!I75</f>
        <v>-2203.0165274411338</v>
      </c>
      <c r="F28" s="7">
        <f>-'P&amp;L'!J75</f>
        <v>-2441.373380028675</v>
      </c>
      <c r="G28" s="10">
        <f>-'P&amp;L'!K75</f>
        <v>-2716.4981610588479</v>
      </c>
    </row>
    <row r="29" spans="1:7">
      <c r="A29" s="131" t="s">
        <v>141</v>
      </c>
      <c r="B29" s="277"/>
      <c r="C29" s="278">
        <f>SUM(C25:C28)</f>
        <v>-3036.0813239632403</v>
      </c>
      <c r="D29" s="278">
        <f>SUM(D25:D28)</f>
        <v>-2067.3713825032437</v>
      </c>
      <c r="E29" s="278">
        <f>SUM(E25:E28)</f>
        <v>-2268.7214525175164</v>
      </c>
      <c r="F29" s="278">
        <f>SUM(F25:F28)</f>
        <v>-2502.2716986379301</v>
      </c>
      <c r="G29" s="279">
        <f>SUM(G25:G28)</f>
        <v>-2772.3572326569947</v>
      </c>
    </row>
    <row r="30" spans="1:7">
      <c r="B30" s="16"/>
      <c r="G30" s="16"/>
    </row>
    <row r="31" spans="1:7">
      <c r="A31" s="119" t="s">
        <v>147</v>
      </c>
      <c r="B31" s="16"/>
      <c r="C31" s="7">
        <f>C17+C22+C29</f>
        <v>518.99472492428458</v>
      </c>
      <c r="D31" s="7">
        <f t="shared" ref="D31:G31" si="4">D17+D22+D29</f>
        <v>1662.6539845533571</v>
      </c>
      <c r="E31" s="7">
        <f t="shared" si="4"/>
        <v>1713.9198995486468</v>
      </c>
      <c r="F31" s="7">
        <f t="shared" si="4"/>
        <v>1778.1871424374003</v>
      </c>
      <c r="G31" s="10">
        <f t="shared" si="4"/>
        <v>1853.9189327573849</v>
      </c>
    </row>
    <row r="32" spans="1:7">
      <c r="A32" s="119" t="s">
        <v>148</v>
      </c>
      <c r="B32" s="16"/>
      <c r="C32" s="7">
        <f>1096</f>
        <v>1096</v>
      </c>
      <c r="D32" s="7">
        <f>C33</f>
        <v>1614.9947249242846</v>
      </c>
      <c r="E32" s="7">
        <f t="shared" ref="E32:G32" si="5">D33</f>
        <v>3277.6487094776417</v>
      </c>
      <c r="F32" s="7">
        <f t="shared" si="5"/>
        <v>4991.568609026288</v>
      </c>
      <c r="G32" s="10">
        <f t="shared" si="5"/>
        <v>6769.7557514636883</v>
      </c>
    </row>
    <row r="33" spans="1:7">
      <c r="A33" s="131" t="s">
        <v>152</v>
      </c>
      <c r="B33" s="277"/>
      <c r="C33" s="120">
        <f>C31+C32</f>
        <v>1614.9947249242846</v>
      </c>
      <c r="D33" s="120">
        <f t="shared" ref="D33:G33" si="6">D31+D32</f>
        <v>3277.6487094776417</v>
      </c>
      <c r="E33" s="120">
        <f t="shared" si="6"/>
        <v>4991.568609026288</v>
      </c>
      <c r="F33" s="120">
        <f t="shared" si="6"/>
        <v>6769.7557514636883</v>
      </c>
      <c r="G33" s="121">
        <f t="shared" si="6"/>
        <v>8623.6746842210741</v>
      </c>
    </row>
    <row r="35" spans="1:7">
      <c r="C35" s="7"/>
      <c r="D35" s="7"/>
      <c r="E35" s="7"/>
      <c r="F35" s="7"/>
      <c r="G35" s="7"/>
    </row>
    <row r="37" spans="1:7" s="265" customFormat="1"/>
  </sheetData>
  <mergeCells count="2">
    <mergeCell ref="A1:A2"/>
    <mergeCell ref="C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showGridLines="0" workbookViewId="0">
      <selection activeCell="I6" sqref="I6"/>
    </sheetView>
  </sheetViews>
  <sheetFormatPr defaultColWidth="9" defaultRowHeight="15"/>
  <cols>
    <col min="1" max="1" width="28.140625" customWidth="1"/>
    <col min="2" max="2" width="12.140625" customWidth="1"/>
    <col min="3" max="3" width="12" customWidth="1"/>
    <col min="4" max="4" width="11" customWidth="1"/>
    <col min="5" max="6" width="11.140625" customWidth="1"/>
    <col min="7" max="7" width="11.5703125" customWidth="1"/>
    <col min="8" max="8" width="10.85546875" customWidth="1"/>
    <col min="9" max="9" width="12.140625" customWidth="1"/>
    <col min="10" max="10" width="11" customWidth="1"/>
    <col min="11" max="11" width="10.5703125" customWidth="1"/>
  </cols>
  <sheetData>
    <row r="1" spans="1:11" ht="15.75" thickBot="1">
      <c r="A1" s="21"/>
      <c r="B1" s="21"/>
      <c r="C1" s="330"/>
      <c r="D1" s="330"/>
      <c r="E1" s="330"/>
      <c r="F1" s="330"/>
      <c r="G1" s="330"/>
      <c r="H1" s="330"/>
      <c r="I1" s="330"/>
      <c r="J1" s="330"/>
      <c r="K1" s="330"/>
    </row>
    <row r="2" spans="1:11">
      <c r="A2" s="309" t="s">
        <v>0</v>
      </c>
      <c r="B2" s="107"/>
      <c r="C2" s="310" t="s">
        <v>2</v>
      </c>
      <c r="D2" s="311"/>
      <c r="E2" s="311"/>
      <c r="F2" s="311"/>
      <c r="G2" s="312"/>
    </row>
    <row r="3" spans="1:11" ht="15.75" thickBot="1">
      <c r="A3" s="309"/>
      <c r="B3" s="107" t="s">
        <v>3</v>
      </c>
      <c r="C3" s="108">
        <v>2025</v>
      </c>
      <c r="D3" s="109">
        <f>C3+1</f>
        <v>2026</v>
      </c>
      <c r="E3" s="109">
        <f t="shared" ref="E3:G3" si="0">D3+1</f>
        <v>2027</v>
      </c>
      <c r="F3" s="109">
        <f t="shared" si="0"/>
        <v>2028</v>
      </c>
      <c r="G3" s="110">
        <f t="shared" si="0"/>
        <v>2029</v>
      </c>
    </row>
    <row r="4" spans="1:11">
      <c r="A4" s="288" t="s">
        <v>74</v>
      </c>
      <c r="B4" s="100" t="s">
        <v>129</v>
      </c>
      <c r="C4" s="112"/>
      <c r="D4" s="112"/>
      <c r="E4" s="112"/>
      <c r="F4" s="112"/>
      <c r="G4" s="280"/>
    </row>
    <row r="5" spans="1:11">
      <c r="A5" s="285" t="s">
        <v>125</v>
      </c>
      <c r="C5" s="113">
        <f>7289+652</f>
        <v>7941</v>
      </c>
      <c r="D5" s="112">
        <f>C8</f>
        <v>6808.5497439771734</v>
      </c>
      <c r="E5" s="112">
        <f t="shared" ref="E5:G5" si="1">D8</f>
        <v>6943.7275235387642</v>
      </c>
      <c r="F5" s="112">
        <f t="shared" si="1"/>
        <v>7089.7702540098753</v>
      </c>
      <c r="G5" s="276">
        <f t="shared" si="1"/>
        <v>7245.0483116848663</v>
      </c>
    </row>
    <row r="6" spans="1:11">
      <c r="A6" s="285" t="s">
        <v>126</v>
      </c>
      <c r="C6" s="112">
        <f>C8+C7-C5</f>
        <v>-480.45025602282658</v>
      </c>
      <c r="D6" s="112">
        <f t="shared" ref="D6:G6" si="2">D8+D7-D5</f>
        <v>1170.1777795615908</v>
      </c>
      <c r="E6" s="112">
        <f t="shared" si="2"/>
        <v>655.0427304711111</v>
      </c>
      <c r="F6" s="112">
        <f t="shared" si="2"/>
        <v>767.27805767499103</v>
      </c>
      <c r="G6" s="276">
        <f t="shared" si="2"/>
        <v>684.02637121041607</v>
      </c>
    </row>
    <row r="7" spans="1:11">
      <c r="A7" s="285" t="s">
        <v>127</v>
      </c>
      <c r="C7" s="113">
        <v>652</v>
      </c>
      <c r="D7" s="113">
        <v>1035</v>
      </c>
      <c r="E7" s="113">
        <v>509</v>
      </c>
      <c r="F7" s="113">
        <v>612</v>
      </c>
      <c r="G7" s="281">
        <v>519</v>
      </c>
    </row>
    <row r="8" spans="1:11">
      <c r="A8" s="286" t="s">
        <v>128</v>
      </c>
      <c r="B8" s="291"/>
      <c r="C8" s="132">
        <f>C13*'P&amp;L'!G77</f>
        <v>6808.5497439771734</v>
      </c>
      <c r="D8" s="132">
        <f>D13*'P&amp;L'!H77</f>
        <v>6943.7275235387642</v>
      </c>
      <c r="E8" s="132">
        <f>E13*'P&amp;L'!I77</f>
        <v>7089.7702540098753</v>
      </c>
      <c r="F8" s="132">
        <f>F13*'P&amp;L'!J77</f>
        <v>7245.0483116848663</v>
      </c>
      <c r="G8" s="282">
        <f>G13*'P&amp;L'!K77</f>
        <v>7410.0746828952824</v>
      </c>
    </row>
    <row r="9" spans="1:11">
      <c r="A9" s="16"/>
      <c r="C9" s="112"/>
      <c r="D9" s="112"/>
      <c r="E9" s="112"/>
      <c r="F9" s="112"/>
      <c r="G9" s="276"/>
      <c r="J9" s="130"/>
    </row>
    <row r="10" spans="1:11">
      <c r="A10" s="16"/>
      <c r="C10" s="112"/>
      <c r="D10" s="112"/>
      <c r="E10" s="112"/>
      <c r="F10" s="112"/>
      <c r="G10" s="276"/>
    </row>
    <row r="11" spans="1:11">
      <c r="A11" s="285" t="s">
        <v>130</v>
      </c>
      <c r="C11" s="115">
        <v>0.03</v>
      </c>
      <c r="D11" s="115">
        <v>0.03</v>
      </c>
      <c r="E11" s="115">
        <v>0.03</v>
      </c>
      <c r="F11" s="115">
        <v>0.03</v>
      </c>
      <c r="G11" s="231">
        <v>0.03</v>
      </c>
    </row>
    <row r="12" spans="1:11">
      <c r="A12" s="289" t="s">
        <v>131</v>
      </c>
      <c r="C12" s="112">
        <f>AVERAGE(C8,C5)*C11</f>
        <v>221.24324615965759</v>
      </c>
      <c r="D12" s="112">
        <f t="shared" ref="D12:G12" si="3">AVERAGE(D8,D5)*D11</f>
        <v>206.28415901273905</v>
      </c>
      <c r="E12" s="112">
        <f t="shared" si="3"/>
        <v>210.5024666632296</v>
      </c>
      <c r="F12" s="112">
        <f t="shared" si="3"/>
        <v>215.02227848542114</v>
      </c>
      <c r="G12" s="276">
        <f t="shared" si="3"/>
        <v>219.82684491870225</v>
      </c>
    </row>
    <row r="13" spans="1:11">
      <c r="A13" s="285" t="s">
        <v>132</v>
      </c>
      <c r="C13" s="111">
        <f>'Balance Sheet'!G73</f>
        <v>1.521323114158935</v>
      </c>
      <c r="D13" s="111">
        <f>'Balance Sheet'!H73</f>
        <v>1.4409923356192011</v>
      </c>
      <c r="E13" s="111">
        <f>'Balance Sheet'!I73</f>
        <v>1.3606615570794673</v>
      </c>
      <c r="F13" s="111">
        <f>'Balance Sheet'!J73</f>
        <v>1.2803307785397335</v>
      </c>
      <c r="G13" s="283">
        <f>'Balance Sheet'!K73</f>
        <v>1.2</v>
      </c>
    </row>
    <row r="14" spans="1:11">
      <c r="A14" s="16"/>
      <c r="C14" s="112"/>
      <c r="D14" s="112"/>
      <c r="E14" s="112"/>
      <c r="F14" s="112"/>
      <c r="G14" s="276"/>
    </row>
    <row r="15" spans="1:11">
      <c r="A15" s="16"/>
      <c r="C15" s="112"/>
      <c r="D15" s="112"/>
      <c r="E15" s="112"/>
      <c r="F15" s="112"/>
      <c r="G15" s="276"/>
    </row>
    <row r="16" spans="1:11">
      <c r="A16" s="288" t="s">
        <v>155</v>
      </c>
      <c r="C16" s="112"/>
      <c r="D16" s="112"/>
      <c r="E16" s="112"/>
      <c r="F16" s="112"/>
      <c r="G16" s="276"/>
    </row>
    <row r="17" spans="1:7">
      <c r="A17" s="290" t="s">
        <v>125</v>
      </c>
      <c r="C17" s="133">
        <v>8</v>
      </c>
      <c r="D17" s="112">
        <f>C20</f>
        <v>131.52288482674493</v>
      </c>
      <c r="E17" s="112">
        <f t="shared" ref="E17:G17" si="4">D20</f>
        <v>134.13415627234778</v>
      </c>
      <c r="F17" s="112">
        <f t="shared" si="4"/>
        <v>136.95530937276047</v>
      </c>
      <c r="G17" s="276">
        <f t="shared" si="4"/>
        <v>139.95486417718476</v>
      </c>
    </row>
    <row r="18" spans="1:7">
      <c r="A18" s="290" t="s">
        <v>126</v>
      </c>
      <c r="C18" s="112">
        <f>IF(C20&gt;C17,C20-C17,0)</f>
        <v>123.52288482674493</v>
      </c>
      <c r="D18" s="112">
        <f t="shared" ref="D18:G18" si="5">IF(D20&gt;D17,D20-D17,0)</f>
        <v>2.6112714456028527</v>
      </c>
      <c r="E18" s="112">
        <f t="shared" si="5"/>
        <v>2.8211531004126869</v>
      </c>
      <c r="F18" s="112">
        <f t="shared" si="5"/>
        <v>2.9995548044242923</v>
      </c>
      <c r="G18" s="276">
        <f t="shared" si="5"/>
        <v>3.1878660258424532</v>
      </c>
    </row>
    <row r="19" spans="1:7">
      <c r="A19" s="290" t="s">
        <v>127</v>
      </c>
      <c r="B19" s="100"/>
      <c r="C19" s="112">
        <f>IF(C20&lt;C17,C20-C17,0)</f>
        <v>0</v>
      </c>
      <c r="D19" s="112">
        <f t="shared" ref="D19:G19" si="6">IF(D20&lt;D17,D20-D17,0)</f>
        <v>0</v>
      </c>
      <c r="E19" s="112">
        <f t="shared" si="6"/>
        <v>0</v>
      </c>
      <c r="F19" s="112">
        <f t="shared" si="6"/>
        <v>0</v>
      </c>
      <c r="G19" s="276">
        <f t="shared" si="6"/>
        <v>0</v>
      </c>
    </row>
    <row r="20" spans="1:7">
      <c r="A20" s="286" t="s">
        <v>152</v>
      </c>
      <c r="B20" s="292"/>
      <c r="C20" s="114">
        <f>C8*'Balance Sheet'!G77</f>
        <v>131.52288482674493</v>
      </c>
      <c r="D20" s="114">
        <f>D8*'Balance Sheet'!H77</f>
        <v>134.13415627234778</v>
      </c>
      <c r="E20" s="114">
        <f>E8*'Balance Sheet'!I77</f>
        <v>136.95530937276047</v>
      </c>
      <c r="F20" s="114">
        <f>F8*'Balance Sheet'!J77</f>
        <v>139.95486417718476</v>
      </c>
      <c r="G20" s="284">
        <f>G8*'Balance Sheet'!K77</f>
        <v>143.14273020302721</v>
      </c>
    </row>
    <row r="21" spans="1:7">
      <c r="B21" s="100"/>
      <c r="C21" s="112"/>
      <c r="D21" s="112"/>
      <c r="E21" s="112"/>
      <c r="F21" s="112"/>
      <c r="G21" s="112"/>
    </row>
    <row r="22" spans="1:7">
      <c r="C22" s="112"/>
      <c r="D22" s="112"/>
      <c r="E22" s="112"/>
      <c r="F22" s="112"/>
      <c r="G22" s="112"/>
    </row>
    <row r="23" spans="1:7">
      <c r="A23" s="130" t="s">
        <v>159</v>
      </c>
      <c r="C23" s="37">
        <v>0.03</v>
      </c>
      <c r="D23" s="37">
        <v>0.03</v>
      </c>
      <c r="E23" s="37">
        <v>0.03</v>
      </c>
      <c r="F23" s="37">
        <v>0.03</v>
      </c>
      <c r="G23" s="37">
        <v>0.03</v>
      </c>
    </row>
    <row r="24" spans="1:7">
      <c r="A24" s="130" t="s">
        <v>131</v>
      </c>
      <c r="C24" s="112">
        <f>AVERAGE(C20,C17)*C23</f>
        <v>2.0928432724011738</v>
      </c>
      <c r="D24" s="112">
        <f t="shared" ref="D24:G24" si="7">AVERAGE(D20,D17)*D23</f>
        <v>3.98485561648639</v>
      </c>
      <c r="E24" s="112">
        <f t="shared" si="7"/>
        <v>4.0663419846766233</v>
      </c>
      <c r="F24" s="112">
        <f t="shared" si="7"/>
        <v>4.1536526032491778</v>
      </c>
      <c r="G24" s="112">
        <f t="shared" si="7"/>
        <v>4.2464639157031794</v>
      </c>
    </row>
    <row r="25" spans="1:7">
      <c r="C25" s="112"/>
      <c r="D25" s="112"/>
      <c r="E25" s="112"/>
      <c r="F25" s="112"/>
      <c r="G25" s="112"/>
    </row>
    <row r="26" spans="1:7">
      <c r="C26" s="112"/>
      <c r="D26" s="112"/>
      <c r="E26" s="112"/>
      <c r="F26" s="112"/>
      <c r="G26" s="112"/>
    </row>
    <row r="27" spans="1:7" s="265" customFormat="1">
      <c r="C27" s="287"/>
      <c r="D27" s="287"/>
      <c r="E27" s="287"/>
      <c r="F27" s="287"/>
      <c r="G27" s="287"/>
    </row>
    <row r="28" spans="1:7">
      <c r="C28" s="112"/>
      <c r="D28" s="112"/>
      <c r="E28" s="112"/>
      <c r="F28" s="112"/>
      <c r="G28" s="112"/>
    </row>
    <row r="29" spans="1:7">
      <c r="C29" s="112"/>
      <c r="D29" s="112"/>
      <c r="E29" s="112"/>
      <c r="F29" s="112"/>
      <c r="G29" s="112"/>
    </row>
    <row r="30" spans="1:7">
      <c r="C30" s="112"/>
      <c r="D30" s="112"/>
      <c r="E30" s="112"/>
      <c r="F30" s="112"/>
      <c r="G30" s="112"/>
    </row>
  </sheetData>
  <mergeCells count="4">
    <mergeCell ref="C1:F1"/>
    <mergeCell ref="G1:K1"/>
    <mergeCell ref="A2:A3"/>
    <mergeCell ref="C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showGridLines="0" workbookViewId="0">
      <selection activeCell="M20" sqref="M20"/>
    </sheetView>
  </sheetViews>
  <sheetFormatPr defaultColWidth="9" defaultRowHeight="15"/>
  <cols>
    <col min="1" max="1" width="39.85546875" customWidth="1"/>
    <col min="2" max="2" width="12.7109375" customWidth="1"/>
    <col min="3" max="3" width="11.85546875" customWidth="1"/>
    <col min="4" max="4" width="11.42578125" customWidth="1"/>
    <col min="5" max="5" width="10.85546875" customWidth="1"/>
    <col min="6" max="6" width="11.42578125" customWidth="1"/>
    <col min="7" max="7" width="11.140625" customWidth="1"/>
    <col min="8" max="8" width="10.42578125" customWidth="1"/>
    <col min="9" max="9" width="11" customWidth="1"/>
    <col min="10" max="10" width="10.7109375" customWidth="1"/>
    <col min="11" max="11" width="10.5703125" customWidth="1"/>
  </cols>
  <sheetData>
    <row r="1" spans="1:13">
      <c r="A1" s="308" t="s">
        <v>0</v>
      </c>
      <c r="B1" s="1"/>
      <c r="C1" s="303" t="s">
        <v>1</v>
      </c>
      <c r="D1" s="304"/>
      <c r="E1" s="304"/>
      <c r="F1" s="304"/>
      <c r="G1" s="305" t="s">
        <v>2</v>
      </c>
      <c r="H1" s="306"/>
      <c r="I1" s="306"/>
      <c r="J1" s="306"/>
      <c r="K1" s="307"/>
    </row>
    <row r="2" spans="1:13" ht="15.75" thickBot="1">
      <c r="A2" s="308"/>
      <c r="B2" s="1" t="s">
        <v>3</v>
      </c>
      <c r="C2" s="2">
        <v>2021</v>
      </c>
      <c r="D2" s="3">
        <f>C2+1</f>
        <v>2022</v>
      </c>
      <c r="E2" s="3">
        <f t="shared" ref="E2:H2" si="0">D2+1</f>
        <v>2023</v>
      </c>
      <c r="F2" s="4">
        <f t="shared" si="0"/>
        <v>2024</v>
      </c>
      <c r="G2" s="5">
        <f t="shared" si="0"/>
        <v>2025</v>
      </c>
      <c r="H2" s="5">
        <f t="shared" si="0"/>
        <v>2026</v>
      </c>
      <c r="I2" s="5">
        <f t="shared" ref="I2:K2" si="1">H2+1</f>
        <v>2027</v>
      </c>
      <c r="J2" s="5">
        <f t="shared" si="1"/>
        <v>2028</v>
      </c>
      <c r="K2" s="17">
        <f t="shared" si="1"/>
        <v>2029</v>
      </c>
    </row>
    <row r="3" spans="1:13">
      <c r="A3" s="6" t="s">
        <v>107</v>
      </c>
      <c r="C3" s="7"/>
      <c r="D3" s="7"/>
      <c r="E3" s="7"/>
      <c r="F3" s="8"/>
      <c r="G3" s="7"/>
      <c r="H3" s="7"/>
      <c r="I3" s="7"/>
      <c r="J3" s="7"/>
      <c r="K3" s="8"/>
    </row>
    <row r="4" spans="1:13">
      <c r="A4" t="s">
        <v>108</v>
      </c>
      <c r="C4" s="9">
        <v>8751</v>
      </c>
      <c r="D4" s="7">
        <f>C6</f>
        <v>8899</v>
      </c>
      <c r="E4" s="7">
        <f t="shared" ref="E4:G4" si="2">D6</f>
        <v>9583</v>
      </c>
      <c r="F4" s="10">
        <f t="shared" si="2"/>
        <v>10286</v>
      </c>
      <c r="G4" s="7">
        <f t="shared" si="2"/>
        <v>10127</v>
      </c>
      <c r="H4" s="7">
        <f t="shared" ref="H4:K4" si="3">G6</f>
        <v>10321.88683407375</v>
      </c>
      <c r="I4" s="7">
        <f t="shared" si="3"/>
        <v>10591.072137641388</v>
      </c>
      <c r="J4" s="7">
        <f t="shared" si="3"/>
        <v>10937.933184280941</v>
      </c>
      <c r="K4" s="10">
        <f t="shared" si="3"/>
        <v>11368.24509793269</v>
      </c>
    </row>
    <row r="5" spans="1:13">
      <c r="A5" t="s">
        <v>109</v>
      </c>
      <c r="C5" s="7">
        <f>C6-C4</f>
        <v>148</v>
      </c>
      <c r="D5" s="7">
        <f t="shared" ref="D5:F5" si="4">D6-D4</f>
        <v>684</v>
      </c>
      <c r="E5" s="7">
        <f t="shared" si="4"/>
        <v>703</v>
      </c>
      <c r="F5" s="10">
        <f t="shared" si="4"/>
        <v>-159</v>
      </c>
      <c r="G5" s="7">
        <f>G6-G4</f>
        <v>194.88683407374992</v>
      </c>
      <c r="H5" s="7">
        <f t="shared" ref="H5:K5" si="5">H6-H4</f>
        <v>269.18530356763767</v>
      </c>
      <c r="I5" s="7">
        <f t="shared" si="5"/>
        <v>346.86104663955302</v>
      </c>
      <c r="J5" s="7">
        <f t="shared" si="5"/>
        <v>430.31191365174891</v>
      </c>
      <c r="K5" s="10">
        <f t="shared" si="5"/>
        <v>526.07918080063064</v>
      </c>
    </row>
    <row r="6" spans="1:13">
      <c r="A6" t="s">
        <v>110</v>
      </c>
      <c r="C6" s="7">
        <v>8899</v>
      </c>
      <c r="D6" s="7">
        <v>9583</v>
      </c>
      <c r="E6" s="7">
        <v>10286</v>
      </c>
      <c r="F6" s="10">
        <v>10127</v>
      </c>
      <c r="G6" s="7">
        <f>Revenue!G35/Capex!G15</f>
        <v>10321.88683407375</v>
      </c>
      <c r="H6" s="7">
        <f>Revenue!H35/Capex!H15</f>
        <v>10591.072137641388</v>
      </c>
      <c r="I6" s="7">
        <f>Revenue!I35/Capex!I15</f>
        <v>10937.933184280941</v>
      </c>
      <c r="J6" s="7">
        <f>Revenue!J35/Capex!J15</f>
        <v>11368.24509793269</v>
      </c>
      <c r="K6" s="10">
        <f>Revenue!K35/Capex!K15</f>
        <v>11894.32427873332</v>
      </c>
    </row>
    <row r="7" spans="1:13">
      <c r="A7" t="s">
        <v>111</v>
      </c>
      <c r="C7" s="7">
        <v>5169</v>
      </c>
      <c r="D7" s="7">
        <v>5276</v>
      </c>
      <c r="E7" s="7">
        <v>5704</v>
      </c>
      <c r="F7" s="10">
        <v>5705</v>
      </c>
      <c r="G7" s="7">
        <f>G12+F7</f>
        <v>6245.1994689502408</v>
      </c>
      <c r="H7" s="7">
        <f t="shared" ref="H7:K7" si="6">H12+G7</f>
        <v>6799.4868425998839</v>
      </c>
      <c r="I7" s="7">
        <f t="shared" si="6"/>
        <v>7371.9273074630119</v>
      </c>
      <c r="J7" s="7">
        <f t="shared" si="6"/>
        <v>7966.8882931354046</v>
      </c>
      <c r="K7" s="10">
        <f t="shared" si="6"/>
        <v>8589.3818122159482</v>
      </c>
    </row>
    <row r="8" spans="1:13">
      <c r="A8" s="11" t="s">
        <v>112</v>
      </c>
      <c r="B8" s="12"/>
      <c r="C8" s="13">
        <v>3730</v>
      </c>
      <c r="D8" s="13">
        <v>4307</v>
      </c>
      <c r="E8" s="13">
        <v>4582</v>
      </c>
      <c r="F8" s="14">
        <v>4422</v>
      </c>
      <c r="G8" s="13">
        <f>G6-G7</f>
        <v>4076.6873651235092</v>
      </c>
      <c r="H8" s="13">
        <f t="shared" ref="H8:K8" si="7">H6-H7</f>
        <v>3791.5852950415037</v>
      </c>
      <c r="I8" s="13">
        <f t="shared" si="7"/>
        <v>3566.0058768179288</v>
      </c>
      <c r="J8" s="13">
        <f t="shared" si="7"/>
        <v>3401.3568047972849</v>
      </c>
      <c r="K8" s="14">
        <f t="shared" si="7"/>
        <v>3304.9424665173719</v>
      </c>
    </row>
    <row r="9" spans="1:13">
      <c r="C9" s="7"/>
      <c r="D9" s="7"/>
      <c r="E9" s="7"/>
      <c r="F9" s="7"/>
      <c r="G9" s="7"/>
      <c r="H9" s="7"/>
      <c r="I9" s="7"/>
      <c r="J9" s="7"/>
      <c r="K9" s="7"/>
      <c r="M9" s="7"/>
    </row>
    <row r="10" spans="1:13">
      <c r="C10" s="7"/>
      <c r="D10" s="7"/>
      <c r="E10" s="7"/>
      <c r="F10" s="7"/>
      <c r="G10" s="7"/>
      <c r="H10" s="7"/>
      <c r="I10" s="7"/>
      <c r="J10" s="7"/>
      <c r="K10" s="7"/>
      <c r="M10" s="7"/>
    </row>
    <row r="11" spans="1:13">
      <c r="C11" s="7"/>
      <c r="D11" s="7"/>
      <c r="E11" s="7"/>
      <c r="F11" s="7"/>
      <c r="G11" s="7"/>
      <c r="H11" s="7"/>
      <c r="I11" s="7"/>
      <c r="J11" s="7"/>
      <c r="K11" s="7"/>
    </row>
    <row r="12" spans="1:13">
      <c r="A12" s="51" t="s">
        <v>113</v>
      </c>
      <c r="B12" s="51"/>
      <c r="C12" s="297">
        <f>C13-C17</f>
        <v>467</v>
      </c>
      <c r="D12" s="297">
        <f t="shared" ref="D12:F12" si="8">D13-D17</f>
        <v>465</v>
      </c>
      <c r="E12" s="297">
        <f t="shared" si="8"/>
        <v>495</v>
      </c>
      <c r="F12" s="293">
        <f t="shared" si="8"/>
        <v>530</v>
      </c>
      <c r="G12" s="297">
        <f>G6*G14</f>
        <v>540.19946895024066</v>
      </c>
      <c r="H12" s="297">
        <f t="shared" ref="H12:K12" si="9">H6*H14</f>
        <v>554.28737364964309</v>
      </c>
      <c r="I12" s="297">
        <f t="shared" si="9"/>
        <v>572.44046486312811</v>
      </c>
      <c r="J12" s="297">
        <f t="shared" si="9"/>
        <v>594.96098567239312</v>
      </c>
      <c r="K12" s="293">
        <f t="shared" si="9"/>
        <v>622.49351908054314</v>
      </c>
      <c r="L12" s="7"/>
    </row>
    <row r="13" spans="1:13">
      <c r="A13" t="s">
        <v>106</v>
      </c>
      <c r="C13" s="9">
        <v>556</v>
      </c>
      <c r="D13" s="9">
        <v>545</v>
      </c>
      <c r="E13" s="9">
        <v>567</v>
      </c>
      <c r="F13" s="15">
        <v>605</v>
      </c>
      <c r="G13" s="7">
        <f>G12+G17</f>
        <v>608.19946895024066</v>
      </c>
      <c r="H13" s="7">
        <f t="shared" ref="H13:K13" si="10">H12+H17</f>
        <v>622.28737364964309</v>
      </c>
      <c r="I13" s="7">
        <f t="shared" si="10"/>
        <v>640.44046486312811</v>
      </c>
      <c r="J13" s="7">
        <f t="shared" si="10"/>
        <v>662.96098567239312</v>
      </c>
      <c r="K13" s="10">
        <f t="shared" si="10"/>
        <v>690.49351908054314</v>
      </c>
      <c r="M13" s="7"/>
    </row>
    <row r="14" spans="1:13">
      <c r="A14" t="s">
        <v>114</v>
      </c>
      <c r="C14" s="37">
        <f>C12/C6</f>
        <v>5.2477806495111808E-2</v>
      </c>
      <c r="D14" s="37">
        <f t="shared" ref="D14:F14" si="11">D12/D6</f>
        <v>4.8523426901805278E-2</v>
      </c>
      <c r="E14" s="37">
        <f t="shared" si="11"/>
        <v>4.8123663231576901E-2</v>
      </c>
      <c r="F14" s="98">
        <f t="shared" si="11"/>
        <v>5.2335341167176856E-2</v>
      </c>
      <c r="G14" s="38">
        <f>F14</f>
        <v>5.2335341167176856E-2</v>
      </c>
      <c r="H14" s="38">
        <f t="shared" ref="H14:K14" si="12">G14</f>
        <v>5.2335341167176856E-2</v>
      </c>
      <c r="I14" s="38">
        <f t="shared" si="12"/>
        <v>5.2335341167176856E-2</v>
      </c>
      <c r="J14" s="38">
        <f t="shared" si="12"/>
        <v>5.2335341167176856E-2</v>
      </c>
      <c r="K14" s="295">
        <f t="shared" si="12"/>
        <v>5.2335341167176856E-2</v>
      </c>
    </row>
    <row r="15" spans="1:13">
      <c r="A15" t="s">
        <v>115</v>
      </c>
      <c r="C15" s="101">
        <f>Revenue!C35/Capex!C6</f>
        <v>1.9576356894033038</v>
      </c>
      <c r="D15" s="101">
        <f>Revenue!D35/Capex!D6</f>
        <v>1.8748826046123344</v>
      </c>
      <c r="E15" s="101">
        <f>Revenue!E35/Capex!E6</f>
        <v>1.891600233326852</v>
      </c>
      <c r="F15" s="106">
        <f>Revenue!F35/Capex!F6</f>
        <v>1.9848918732102301</v>
      </c>
      <c r="G15" s="102">
        <f>F15+($K$15-$F$15)/5</f>
        <v>2.087913498568184</v>
      </c>
      <c r="H15" s="102">
        <f t="shared" ref="H15:J15" si="13">G15+($K$15-$F$15)/5</f>
        <v>2.1909351239261379</v>
      </c>
      <c r="I15" s="102">
        <f t="shared" si="13"/>
        <v>2.2939567492840918</v>
      </c>
      <c r="J15" s="102">
        <f t="shared" si="13"/>
        <v>2.3969783746420457</v>
      </c>
      <c r="K15" s="296">
        <v>2.5</v>
      </c>
    </row>
    <row r="16" spans="1:13">
      <c r="C16" s="7"/>
      <c r="D16" s="7"/>
      <c r="E16" s="7"/>
      <c r="F16" s="10"/>
      <c r="G16" s="7"/>
      <c r="H16" s="7"/>
      <c r="I16" s="7"/>
      <c r="J16" s="7"/>
      <c r="K16" s="10"/>
    </row>
    <row r="17" spans="1:11">
      <c r="A17" t="s">
        <v>116</v>
      </c>
      <c r="C17" s="7">
        <v>89</v>
      </c>
      <c r="D17" s="7">
        <v>80</v>
      </c>
      <c r="E17" s="7">
        <v>72</v>
      </c>
      <c r="F17" s="10">
        <v>75</v>
      </c>
      <c r="G17" s="104">
        <v>68</v>
      </c>
      <c r="H17" s="104">
        <v>68</v>
      </c>
      <c r="I17" s="104">
        <v>68</v>
      </c>
      <c r="J17" s="104">
        <v>68</v>
      </c>
      <c r="K17" s="105">
        <v>68</v>
      </c>
    </row>
    <row r="18" spans="1:11">
      <c r="C18" s="7"/>
      <c r="D18" s="7"/>
      <c r="E18" s="7"/>
      <c r="F18" s="10"/>
      <c r="G18" s="7"/>
      <c r="H18" s="7"/>
      <c r="I18" s="7"/>
      <c r="J18" s="7"/>
      <c r="K18" s="10"/>
    </row>
    <row r="19" spans="1:11">
      <c r="A19" s="103" t="s">
        <v>120</v>
      </c>
      <c r="C19" s="104">
        <f>'Balance Sheet'!C12</f>
        <v>2462</v>
      </c>
      <c r="D19" s="104">
        <f>'Balance Sheet'!D12</f>
        <v>1920</v>
      </c>
      <c r="E19" s="104">
        <f>'Balance Sheet'!E12</f>
        <v>1887</v>
      </c>
      <c r="F19" s="105">
        <f>'Balance Sheet'!F12</f>
        <v>1756</v>
      </c>
      <c r="G19" s="7">
        <f>G20+G21</f>
        <v>1688</v>
      </c>
      <c r="H19" s="7">
        <f t="shared" ref="H19:K19" si="14">H20+H21</f>
        <v>1620</v>
      </c>
      <c r="I19" s="7">
        <f t="shared" si="14"/>
        <v>1552</v>
      </c>
      <c r="J19" s="7">
        <f t="shared" si="14"/>
        <v>1484</v>
      </c>
      <c r="K19" s="10">
        <f t="shared" si="14"/>
        <v>1416</v>
      </c>
    </row>
    <row r="20" spans="1:11">
      <c r="A20" s="100" t="s">
        <v>121</v>
      </c>
      <c r="C20" s="7">
        <v>1561</v>
      </c>
      <c r="D20" s="7">
        <v>1212</v>
      </c>
      <c r="E20" s="7">
        <v>978</v>
      </c>
      <c r="F20" s="10">
        <v>948</v>
      </c>
      <c r="G20" s="7">
        <f>F20</f>
        <v>948</v>
      </c>
      <c r="H20" s="7">
        <f t="shared" ref="H20:K20" si="15">G20</f>
        <v>948</v>
      </c>
      <c r="I20" s="7">
        <f t="shared" si="15"/>
        <v>948</v>
      </c>
      <c r="J20" s="7">
        <f t="shared" si="15"/>
        <v>948</v>
      </c>
      <c r="K20" s="10">
        <f t="shared" si="15"/>
        <v>948</v>
      </c>
    </row>
    <row r="21" spans="1:11">
      <c r="A21" s="100" t="s">
        <v>122</v>
      </c>
      <c r="C21" s="7">
        <f>C19-C20</f>
        <v>901</v>
      </c>
      <c r="D21" s="7">
        <f>D19-D20</f>
        <v>708</v>
      </c>
      <c r="E21" s="7">
        <f>E19-E20</f>
        <v>909</v>
      </c>
      <c r="F21" s="10">
        <f>F19-F20</f>
        <v>808</v>
      </c>
      <c r="G21" s="7">
        <f>G28</f>
        <v>740</v>
      </c>
      <c r="H21" s="7">
        <f t="shared" ref="H21:K21" si="16">H28</f>
        <v>672</v>
      </c>
      <c r="I21" s="7">
        <f t="shared" si="16"/>
        <v>604</v>
      </c>
      <c r="J21" s="7">
        <f t="shared" si="16"/>
        <v>536</v>
      </c>
      <c r="K21" s="10">
        <f t="shared" si="16"/>
        <v>468</v>
      </c>
    </row>
    <row r="22" spans="1:11">
      <c r="C22" s="7"/>
      <c r="D22" s="7"/>
      <c r="E22" s="7"/>
      <c r="F22" s="10"/>
      <c r="G22" s="7"/>
      <c r="H22" s="7"/>
      <c r="I22" s="7"/>
      <c r="J22" s="7"/>
      <c r="K22" s="10"/>
    </row>
    <row r="23" spans="1:11">
      <c r="A23" s="103" t="s">
        <v>123</v>
      </c>
      <c r="C23" s="7"/>
      <c r="D23" s="7"/>
      <c r="E23" s="7"/>
      <c r="F23" s="10"/>
      <c r="G23" s="7"/>
      <c r="H23" s="7"/>
      <c r="I23" s="7"/>
      <c r="J23" s="7"/>
      <c r="K23" s="10"/>
    </row>
    <row r="24" spans="1:11">
      <c r="A24" t="s">
        <v>108</v>
      </c>
      <c r="C24" s="104">
        <f>902+786</f>
        <v>1688</v>
      </c>
      <c r="D24" s="7">
        <f>C26</f>
        <v>1635</v>
      </c>
      <c r="E24" s="7">
        <f t="shared" ref="E24:F24" si="17">D26</f>
        <v>1501</v>
      </c>
      <c r="F24" s="10">
        <f t="shared" si="17"/>
        <v>1791</v>
      </c>
      <c r="G24" s="7">
        <f>F26</f>
        <v>1738</v>
      </c>
      <c r="H24" s="7">
        <f t="shared" ref="H24:K24" si="18">G26</f>
        <v>1738</v>
      </c>
      <c r="I24" s="7">
        <f t="shared" si="18"/>
        <v>1738</v>
      </c>
      <c r="J24" s="7">
        <f t="shared" si="18"/>
        <v>1738</v>
      </c>
      <c r="K24" s="10">
        <f t="shared" si="18"/>
        <v>1738</v>
      </c>
    </row>
    <row r="25" spans="1:11">
      <c r="A25" t="s">
        <v>109</v>
      </c>
      <c r="C25" s="7">
        <f>C24-C26</f>
        <v>53</v>
      </c>
      <c r="D25" s="7">
        <f t="shared" ref="D25:F25" si="19">D24-D26</f>
        <v>134</v>
      </c>
      <c r="E25" s="7">
        <f t="shared" si="19"/>
        <v>-290</v>
      </c>
      <c r="F25" s="10">
        <f t="shared" si="19"/>
        <v>53</v>
      </c>
      <c r="G25" s="7">
        <v>0</v>
      </c>
      <c r="H25" s="7">
        <v>0</v>
      </c>
      <c r="I25" s="7">
        <v>0</v>
      </c>
      <c r="J25" s="7">
        <v>0</v>
      </c>
      <c r="K25" s="10">
        <v>0</v>
      </c>
    </row>
    <row r="26" spans="1:11">
      <c r="A26" t="s">
        <v>110</v>
      </c>
      <c r="C26" s="7">
        <f>C28+C27</f>
        <v>1635</v>
      </c>
      <c r="D26" s="7">
        <f t="shared" ref="D26:F26" si="20">D28+D27</f>
        <v>1501</v>
      </c>
      <c r="E26" s="7">
        <f t="shared" si="20"/>
        <v>1791</v>
      </c>
      <c r="F26" s="10">
        <f t="shared" si="20"/>
        <v>1738</v>
      </c>
      <c r="G26" s="7">
        <f>G24+G25</f>
        <v>1738</v>
      </c>
      <c r="H26" s="7">
        <f t="shared" ref="H26:K26" si="21">H24+H25</f>
        <v>1738</v>
      </c>
      <c r="I26" s="7">
        <f t="shared" si="21"/>
        <v>1738</v>
      </c>
      <c r="J26" s="7">
        <f t="shared" si="21"/>
        <v>1738</v>
      </c>
      <c r="K26" s="10">
        <f t="shared" si="21"/>
        <v>1738</v>
      </c>
    </row>
    <row r="27" spans="1:11">
      <c r="A27" s="100" t="s">
        <v>124</v>
      </c>
      <c r="C27" s="7">
        <v>734</v>
      </c>
      <c r="D27" s="7">
        <v>793</v>
      </c>
      <c r="E27" s="7">
        <v>882</v>
      </c>
      <c r="F27" s="10">
        <v>930</v>
      </c>
      <c r="G27" s="7">
        <f>F27+G17</f>
        <v>998</v>
      </c>
      <c r="H27" s="7">
        <f t="shared" ref="H27:K27" si="22">G27+H17</f>
        <v>1066</v>
      </c>
      <c r="I27" s="7">
        <f t="shared" si="22"/>
        <v>1134</v>
      </c>
      <c r="J27" s="7">
        <f t="shared" si="22"/>
        <v>1202</v>
      </c>
      <c r="K27" s="10">
        <f t="shared" si="22"/>
        <v>1270</v>
      </c>
    </row>
    <row r="28" spans="1:11">
      <c r="A28" s="11" t="s">
        <v>112</v>
      </c>
      <c r="B28" s="12"/>
      <c r="C28" s="13">
        <f>C21</f>
        <v>901</v>
      </c>
      <c r="D28" s="13">
        <f t="shared" ref="D28:F28" si="23">D21</f>
        <v>708</v>
      </c>
      <c r="E28" s="13">
        <f t="shared" si="23"/>
        <v>909</v>
      </c>
      <c r="F28" s="14">
        <f t="shared" si="23"/>
        <v>808</v>
      </c>
      <c r="G28" s="13">
        <f>G26-G27</f>
        <v>740</v>
      </c>
      <c r="H28" s="13">
        <f t="shared" ref="H28:K28" si="24">H26-H27</f>
        <v>672</v>
      </c>
      <c r="I28" s="13">
        <f t="shared" si="24"/>
        <v>604</v>
      </c>
      <c r="J28" s="13">
        <f t="shared" si="24"/>
        <v>536</v>
      </c>
      <c r="K28" s="14">
        <f t="shared" si="24"/>
        <v>468</v>
      </c>
    </row>
    <row r="29" spans="1:11"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C30" s="7"/>
      <c r="D30" s="7"/>
      <c r="E30" s="7"/>
      <c r="F30" s="7"/>
      <c r="G30" s="7"/>
      <c r="H30" s="7"/>
      <c r="I30" s="7"/>
      <c r="J30" s="7"/>
      <c r="K30" s="7"/>
    </row>
    <row r="31" spans="1:11" s="265" customFormat="1">
      <c r="C31" s="294"/>
      <c r="D31" s="294"/>
      <c r="E31" s="294"/>
      <c r="F31" s="294"/>
      <c r="G31" s="294"/>
      <c r="H31" s="294"/>
      <c r="I31" s="294"/>
      <c r="J31" s="294"/>
      <c r="K31" s="294"/>
    </row>
    <row r="32" spans="1:11">
      <c r="C32" s="7"/>
      <c r="D32" s="7"/>
      <c r="E32" s="7"/>
      <c r="F32" s="7"/>
      <c r="G32" s="7"/>
      <c r="H32" s="7"/>
      <c r="I32" s="7"/>
      <c r="J32" s="7"/>
      <c r="K32" s="7"/>
    </row>
    <row r="33" spans="3:11">
      <c r="C33" s="7"/>
      <c r="D33" s="7"/>
      <c r="E33" s="7"/>
      <c r="F33" s="7"/>
      <c r="G33" s="7"/>
      <c r="H33" s="7"/>
      <c r="I33" s="7"/>
      <c r="J33" s="7"/>
      <c r="K33" s="7"/>
    </row>
    <row r="34" spans="3:11">
      <c r="C34" s="7"/>
      <c r="D34" s="7"/>
      <c r="E34" s="7"/>
      <c r="F34" s="7"/>
      <c r="G34" s="7"/>
      <c r="H34" s="7"/>
      <c r="I34" s="7"/>
      <c r="J34" s="7"/>
      <c r="K34" s="7"/>
    </row>
  </sheetData>
  <mergeCells count="3">
    <mergeCell ref="C1:F1"/>
    <mergeCell ref="G1:K1"/>
    <mergeCell ref="A1:A2"/>
  </mergeCells>
  <pageMargins left="0.7" right="0.7" top="0.75" bottom="0.75" header="0.3" footer="0.3"/>
  <ignoredErrors>
    <ignoredError sqref="G27:K2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Valuation</vt:lpstr>
      <vt:lpstr>Cost of Debt</vt:lpstr>
      <vt:lpstr>Cost of Capital</vt:lpstr>
      <vt:lpstr>Revenue</vt:lpstr>
      <vt:lpstr>P&amp;L</vt:lpstr>
      <vt:lpstr>Balance Sheet</vt:lpstr>
      <vt:lpstr>CFS</vt:lpstr>
      <vt:lpstr>Debt</vt:lpstr>
      <vt:lpstr>Capex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2025-07-30T07:26:00Z</dcterms:created>
  <dcterms:modified xsi:type="dcterms:W3CDTF">2026-07-20T09:25:02Z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C7C0519FD85D436A9C75DBE032B55E62_12</vt:lpwstr>
  </property>
  <property fmtid="{D5CDD505-2E9C-101B-9397-08002B2CF9AE}" pid="3" name="KSOProductBuildVer">
    <vt:lpwstr>1033-12.2.0.21931</vt:lpwstr>
  </property>
</Properties>
</file>